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CI2\Downloads\"/>
    </mc:Choice>
  </mc:AlternateContent>
  <xr:revisionPtr revIDLastSave="0" documentId="13_ncr:1_{CC63875F-174B-4FDB-9788-CE77E936AF71}" xr6:coauthVersionLast="47" xr6:coauthVersionMax="47" xr10:uidLastSave="{00000000-0000-0000-0000-000000000000}"/>
  <bookViews>
    <workbookView xWindow="28680" yWindow="-120" windowWidth="25440" windowHeight="15390" tabRatio="500" firstSheet="3" activeTab="8" xr2:uid="{00000000-000D-0000-FFFF-FFFF00000000}"/>
  </bookViews>
  <sheets>
    <sheet name="Costos Indirectos" sheetId="1" r:id="rId1"/>
    <sheet name="Hw&amp;SW" sheetId="2" r:id="rId2"/>
    <sheet name="Sueldos" sheetId="3" r:id="rId3"/>
    <sheet name="DesgloseIntegrantes" sheetId="4" r:id="rId4"/>
    <sheet name="Otros" sheetId="5" r:id="rId5"/>
    <sheet name="TotalProyecto" sheetId="6" r:id="rId6"/>
    <sheet name="Notas" sheetId="7" r:id="rId7"/>
    <sheet name="COCOMO_Doc1" sheetId="8" r:id="rId8"/>
    <sheet name="Sensibilidad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8" l="1"/>
  <c r="D20" i="8"/>
  <c r="C20" i="8"/>
  <c r="B20" i="8"/>
  <c r="F19" i="8"/>
  <c r="F18" i="8"/>
  <c r="F17" i="8"/>
  <c r="F16" i="8"/>
  <c r="F15" i="8"/>
  <c r="F14" i="8"/>
  <c r="F13" i="8"/>
  <c r="F20" i="8" s="1"/>
  <c r="C10" i="8"/>
  <c r="B10" i="8"/>
  <c r="E9" i="8"/>
  <c r="C9" i="8"/>
  <c r="B23" i="8" s="1"/>
  <c r="B9" i="8"/>
  <c r="F8" i="8"/>
  <c r="F7" i="8"/>
  <c r="F6" i="8"/>
  <c r="F9" i="8" s="1"/>
  <c r="F5" i="8"/>
  <c r="B5" i="7"/>
  <c r="C18" i="6"/>
  <c r="D12" i="6"/>
  <c r="C12" i="6"/>
  <c r="E5" i="5"/>
  <c r="D5" i="5"/>
  <c r="D4" i="5"/>
  <c r="E4" i="5" s="1"/>
  <c r="E10" i="5" s="1"/>
  <c r="K11" i="4"/>
  <c r="J11" i="4"/>
  <c r="H11" i="4"/>
  <c r="D11" i="4"/>
  <c r="C11" i="4"/>
  <c r="K10" i="4"/>
  <c r="J10" i="4"/>
  <c r="H10" i="4"/>
  <c r="D10" i="4"/>
  <c r="C10" i="4"/>
  <c r="K9" i="4"/>
  <c r="J9" i="4"/>
  <c r="D9" i="4"/>
  <c r="C9" i="4"/>
  <c r="K8" i="4"/>
  <c r="J8" i="4"/>
  <c r="D8" i="4"/>
  <c r="C8" i="4"/>
  <c r="K7" i="4"/>
  <c r="J7" i="4"/>
  <c r="H7" i="4"/>
  <c r="D7" i="4"/>
  <c r="C7" i="4"/>
  <c r="K6" i="4"/>
  <c r="J6" i="4"/>
  <c r="J12" i="4" s="1"/>
  <c r="H6" i="4"/>
  <c r="D6" i="4"/>
  <c r="C6" i="4"/>
  <c r="K5" i="4"/>
  <c r="K12" i="4" s="1"/>
  <c r="J5" i="4"/>
  <c r="D5" i="4"/>
  <c r="C5" i="4"/>
  <c r="G13" i="2"/>
  <c r="G12" i="2"/>
  <c r="E12" i="2"/>
  <c r="G11" i="2"/>
  <c r="E11" i="2"/>
  <c r="G10" i="2"/>
  <c r="E10" i="2"/>
  <c r="E9" i="2"/>
  <c r="D9" i="2"/>
  <c r="D8" i="2"/>
  <c r="H8" i="4" s="1"/>
  <c r="C8" i="2"/>
  <c r="E8" i="2" s="1"/>
  <c r="D7" i="2"/>
  <c r="D6" i="2"/>
  <c r="E6" i="2" s="1"/>
  <c r="E5" i="2"/>
  <c r="D5" i="2"/>
  <c r="D4" i="2"/>
  <c r="E4" i="2" s="1"/>
  <c r="J3" i="2"/>
  <c r="I2" i="1" s="1"/>
  <c r="D3" i="2"/>
  <c r="E3" i="2" s="1"/>
  <c r="J2" i="2"/>
  <c r="E7" i="2" s="1"/>
  <c r="C19" i="1"/>
  <c r="E10" i="1"/>
  <c r="D10" i="1"/>
  <c r="D9" i="1"/>
  <c r="D8" i="1"/>
  <c r="E8" i="1" s="1"/>
  <c r="D7" i="1"/>
  <c r="E7" i="1" s="1"/>
  <c r="D6" i="1"/>
  <c r="E6" i="1" s="1"/>
  <c r="D5" i="1"/>
  <c r="E5" i="1" s="1"/>
  <c r="E4" i="1"/>
  <c r="D4" i="1"/>
  <c r="D18" i="3"/>
  <c r="H9" i="3"/>
  <c r="H8" i="3"/>
  <c r="H7" i="3"/>
  <c r="H6" i="3"/>
  <c r="H5" i="3"/>
  <c r="H4" i="3"/>
  <c r="H18" i="3" s="1"/>
  <c r="G20" i="8" l="1"/>
  <c r="F10" i="5"/>
  <c r="C7" i="6"/>
  <c r="D7" i="6" s="1"/>
  <c r="B8" i="9"/>
  <c r="C8" i="9" s="1"/>
  <c r="B24" i="8"/>
  <c r="B22" i="7"/>
  <c r="B23" i="7" s="1"/>
  <c r="C17" i="6"/>
  <c r="B7" i="9"/>
  <c r="C7" i="9" s="1"/>
  <c r="B6" i="7"/>
  <c r="B5" i="9"/>
  <c r="C5" i="9" s="1"/>
  <c r="B6" i="9"/>
  <c r="C6" i="9" s="1"/>
  <c r="B26" i="7"/>
  <c r="B27" i="7" s="1"/>
  <c r="C18" i="4"/>
  <c r="D19" i="1"/>
  <c r="E19" i="1" s="1"/>
  <c r="E9" i="1"/>
  <c r="C13" i="2"/>
  <c r="E13" i="2" s="1"/>
  <c r="E16" i="2" s="1"/>
  <c r="D12" i="4"/>
  <c r="C20" i="4" s="1"/>
  <c r="H5" i="4"/>
  <c r="H12" i="4" s="1"/>
  <c r="C17" i="4" s="1"/>
  <c r="H9" i="4"/>
  <c r="C5" i="6" l="1"/>
  <c r="D5" i="6" s="1"/>
  <c r="G16" i="2"/>
  <c r="C9" i="3"/>
  <c r="C8" i="3"/>
  <c r="C7" i="3"/>
  <c r="C6" i="3"/>
  <c r="C5" i="3"/>
  <c r="C4" i="3"/>
  <c r="C19" i="4"/>
  <c r="C4" i="6"/>
  <c r="G11" i="4"/>
  <c r="G7" i="4"/>
  <c r="G8" i="4"/>
  <c r="G9" i="4"/>
  <c r="G6" i="4"/>
  <c r="G10" i="4"/>
  <c r="G5" i="4"/>
  <c r="E5" i="3" l="1"/>
  <c r="F5" i="3" s="1"/>
  <c r="E6" i="4"/>
  <c r="F6" i="4" s="1"/>
  <c r="L6" i="4" s="1"/>
  <c r="E9" i="3"/>
  <c r="F9" i="3" s="1"/>
  <c r="E11" i="4"/>
  <c r="F11" i="4" s="1"/>
  <c r="L11" i="4" s="1"/>
  <c r="E8" i="3"/>
  <c r="F8" i="3" s="1"/>
  <c r="E10" i="4"/>
  <c r="F10" i="4" s="1"/>
  <c r="L10" i="4" s="1"/>
  <c r="E6" i="3"/>
  <c r="F6" i="3" s="1"/>
  <c r="E7" i="4"/>
  <c r="F7" i="4" s="1"/>
  <c r="L7" i="4" s="1"/>
  <c r="E5" i="4"/>
  <c r="F5" i="4" s="1"/>
  <c r="E4" i="3"/>
  <c r="D6" i="9"/>
  <c r="E6" i="9" s="1"/>
  <c r="F6" i="9" s="1"/>
  <c r="D5" i="9"/>
  <c r="E5" i="9" s="1"/>
  <c r="F5" i="9" s="1"/>
  <c r="D8" i="9"/>
  <c r="E8" i="9" s="1"/>
  <c r="F8" i="9" s="1"/>
  <c r="D4" i="6"/>
  <c r="D7" i="9"/>
  <c r="E7" i="9" s="1"/>
  <c r="F7" i="9" s="1"/>
  <c r="G12" i="4"/>
  <c r="C16" i="4" s="1"/>
  <c r="E9" i="4"/>
  <c r="F9" i="4" s="1"/>
  <c r="L9" i="4" s="1"/>
  <c r="E7" i="3"/>
  <c r="F7" i="3" s="1"/>
  <c r="E8" i="4"/>
  <c r="F8" i="4" s="1"/>
  <c r="L8" i="4" s="1"/>
  <c r="M11" i="4" l="1"/>
  <c r="E18" i="3"/>
  <c r="F4" i="3"/>
  <c r="F18" i="3" s="1"/>
  <c r="M10" i="4"/>
  <c r="M6" i="4"/>
  <c r="M8" i="4"/>
  <c r="M7" i="4"/>
  <c r="M9" i="4"/>
  <c r="F12" i="4"/>
  <c r="L5" i="4"/>
  <c r="C6" i="6" l="1"/>
  <c r="B22" i="3"/>
  <c r="N5" i="4"/>
  <c r="M5" i="4"/>
  <c r="M12" i="4" s="1"/>
  <c r="L12" i="4"/>
  <c r="C15" i="4"/>
  <c r="N11" i="4" l="1"/>
  <c r="N10" i="4"/>
  <c r="N9" i="4"/>
  <c r="N8" i="4"/>
  <c r="N6" i="4"/>
  <c r="N12" i="4" s="1"/>
  <c r="N7" i="4"/>
  <c r="D6" i="6"/>
  <c r="C8" i="6"/>
  <c r="C9" i="6" l="1"/>
  <c r="D9" i="6" s="1"/>
  <c r="D8" i="6"/>
  <c r="C10" i="6" l="1"/>
  <c r="D13" i="6" l="1"/>
  <c r="C13" i="6"/>
  <c r="D10" i="6"/>
  <c r="C11" i="6"/>
  <c r="D1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2" authorId="0" shapeId="0" xr:uid="{00000000-0006-0000-0000-000002000000}">
      <text>
        <r>
          <rPr>
            <sz val="10"/>
            <rFont val="Arial"/>
            <family val="2"/>
          </rPr>
          <t>Personas de la oficina del proveedor entre las que se reparten los costos indirectos. Valor de referencia de la plantilla.</t>
        </r>
      </text>
    </comment>
    <comment ref="B4" authorId="0" shapeId="0" xr:uid="{00000000-0006-0000-0000-000001000000}">
      <text>
        <r>
          <rPr>
            <sz val="10"/>
            <rFont val="Arial"/>
            <family val="2"/>
          </rPr>
          <t>Renta, luz, agua, limpieza, papelería, varios y caja son los valores de referencia de la plantilla, no datos de la academia. Pendientes de validar.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" authorId="0" shapeId="0" xr:uid="{00000000-0006-0000-0100-000003000000}">
      <text>
        <r>
          <rPr>
            <sz val="10"/>
            <rFont val="Arial"/>
            <family val="2"/>
          </rPr>
          <t>Documento 2: el proyecto dura 10 meses.</t>
        </r>
      </text>
    </comment>
    <comment ref="B3" authorId="0" shapeId="0" xr:uid="{00000000-0006-0000-0100-000001000000}">
      <text>
        <r>
          <rPr>
            <sz val="10"/>
            <rFont val="Arial"/>
            <family val="2"/>
          </rPr>
          <t>Enunciado de la Práctica 2: los equipos de generación de código de barras cuestan aproximadamente 1,200 USD y hay 500 salones en los distintos planteles.</t>
        </r>
      </text>
    </comment>
    <comment ref="J3" authorId="0" shapeId="0" xr:uid="{00000000-0006-0000-0100-000004000000}">
      <text>
        <r>
          <rPr>
            <sz val="10"/>
            <rFont val="Arial"/>
            <family val="2"/>
          </rPr>
          <t>Equipo promedio: 148 persona-mes / 10 meses ≈ 15. El pico es de 18 personas en Construcción.</t>
        </r>
      </text>
    </comment>
    <comment ref="B9" authorId="0" shapeId="0" xr:uid="{00000000-0006-0000-0100-000002000000}">
      <text>
        <r>
          <rPr>
            <sz val="10"/>
            <rFont val="Arial"/>
            <family val="2"/>
          </rPr>
          <t>Documento 2, sección 3.3: 10,000 USD de servicios de terceros para todo el proyecto.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200-000001000000}">
      <text>
        <r>
          <rPr>
            <sz val="10"/>
            <rFont val="Arial"/>
            <family val="2"/>
          </rPr>
          <t>La práctica fija un sueldo promedio de 200 pesos por hora: 200 × 160 h = 32,000 MXN al mes. Por eso todos los puestos tienen el mismo sueldo mensual.</t>
        </r>
      </text>
    </comment>
    <comment ref="D4" authorId="0" shapeId="0" xr:uid="{00000000-0006-0000-0200-000002000000}">
      <text>
        <r>
          <rPr>
            <sz val="10"/>
            <rFont val="Arial"/>
            <family val="2"/>
          </rPr>
          <t>Número máximo de personas simultáneas en el puesto, según la tabla de la sección 2.6 del Documento 2.</t>
        </r>
      </text>
    </comment>
    <comment ref="G4" authorId="0" shapeId="0" xr:uid="{00000000-0006-0000-0200-000003000000}">
      <text>
        <r>
          <rPr>
            <sz val="10"/>
            <rFont val="Arial"/>
            <family val="2"/>
          </rPr>
          <t>Meses equivalentes de tiempo completo: personas × meses da los persona-mes del Documento 2 (148 en total).</t>
        </r>
      </text>
    </comment>
  </commentList>
</comments>
</file>

<file path=xl/sharedStrings.xml><?xml version="1.0" encoding="utf-8"?>
<sst xmlns="http://schemas.openxmlformats.org/spreadsheetml/2006/main" count="237" uniqueCount="207">
  <si>
    <t>Costos</t>
  </si>
  <si>
    <t>Descripción</t>
  </si>
  <si>
    <t>Anual</t>
  </si>
  <si>
    <t>Mensual</t>
  </si>
  <si>
    <t>Costo/empleado</t>
  </si>
  <si>
    <t>Empleados (equipo del proyecto)</t>
  </si>
  <si>
    <t>Renta</t>
  </si>
  <si>
    <t>Luz</t>
  </si>
  <si>
    <t>Agua</t>
  </si>
  <si>
    <t>Limpieza</t>
  </si>
  <si>
    <t>Papelería</t>
  </si>
  <si>
    <t>Varios</t>
  </si>
  <si>
    <t>Caja</t>
  </si>
  <si>
    <t>Total</t>
  </si>
  <si>
    <t>Infraestructura</t>
  </si>
  <si>
    <t>Número</t>
  </si>
  <si>
    <t>Costo Unitario (MXN)</t>
  </si>
  <si>
    <t>Costo por proyecto (MXN)</t>
  </si>
  <si>
    <t>Base del cálculo</t>
  </si>
  <si>
    <t>Costo unitario (USD)</t>
  </si>
  <si>
    <t>Número de meses de duración</t>
  </si>
  <si>
    <t>Generadores de código de barras para salones</t>
  </si>
  <si>
    <t>Cantidad × costo unitario (compra)</t>
  </si>
  <si>
    <t>Empleados proyecto (máx.)</t>
  </si>
  <si>
    <t>Instalación, energía y conectividad en salones</t>
  </si>
  <si>
    <t>Cantidad × costo unitario (servicio)</t>
  </si>
  <si>
    <t>Equipos administrativos con Windows 11 Pro</t>
  </si>
  <si>
    <t>Microsoft 365 Business Premium (primer año)</t>
  </si>
  <si>
    <t>Cantidad × costo del primer año completo</t>
  </si>
  <si>
    <t>Infraestructura en la nube durante el proyecto</t>
  </si>
  <si>
    <t>Cantidad × costo mensual × meses</t>
  </si>
  <si>
    <t>Herramientas y licencias de desarrollo (IDE, Enterprise Architect, tiendas móviles)</t>
  </si>
  <si>
    <t>Licencias para el equipo máximo × costo unitario</t>
  </si>
  <si>
    <t>Servicios de terceros (pasarela de pago, SMS y correo, certificados)</t>
  </si>
  <si>
    <t>Costo del proyecto</t>
  </si>
  <si>
    <t>Apple MacBook Pro 13" (compilación iOS de la app .NET MAUI)</t>
  </si>
  <si>
    <t>Cantidad × costo unitario (compra; precio P1)</t>
  </si>
  <si>
    <t>Laptop Dell Inspiron 5584 Core i5, 8 GB (arquitecto, desarrollador y DevOps)</t>
  </si>
  <si>
    <t>Laptop HP Pavilion (director, analista y QA)</t>
  </si>
  <si>
    <t>Office 365 para el equipo del proyecto</t>
  </si>
  <si>
    <t>Licencias para el equipo máximo × costo (precio P1)</t>
  </si>
  <si>
    <t>Totales</t>
  </si>
  <si>
    <t>Sueldos</t>
  </si>
  <si>
    <t>Puesto</t>
  </si>
  <si>
    <t>Mensual ajustado (MXN)</t>
  </si>
  <si>
    <t>Recursos Proyecto (máx.)</t>
  </si>
  <si>
    <t>Total Mensual</t>
  </si>
  <si>
    <t>Total Proyecto</t>
  </si>
  <si>
    <t>Tiempo a Utilizar (meses eq.)</t>
  </si>
  <si>
    <t>Persona-mes</t>
  </si>
  <si>
    <t>Actividad COCOMO II (RUP/MBASE)</t>
  </si>
  <si>
    <t>Sueldo base P1 (MXN/mes)</t>
  </si>
  <si>
    <t>Puesto equivalente en la P1</t>
  </si>
  <si>
    <t>Director de proyecto</t>
  </si>
  <si>
    <t>Management: 0.3 + 1.2 + 3.1 + 0.7</t>
  </si>
  <si>
    <t>Dirección Proyecto</t>
  </si>
  <si>
    <t>Analista de requisitos</t>
  </si>
  <si>
    <t>Requirements: 0.9 + 1.8 + 2.5 + 0.2</t>
  </si>
  <si>
    <t>Analista</t>
  </si>
  <si>
    <t>Arquitecto y diseñador de software</t>
  </si>
  <si>
    <t>Design: 0.5 + 3.5 + 4.9 + 0.2</t>
  </si>
  <si>
    <t>Arquitecto SW</t>
  </si>
  <si>
    <t>Desarrollador .NET (web, API y móvil)</t>
  </si>
  <si>
    <t>Implementation: 0.2 + 1.3 + 10.5 + 0.9 = 12.9</t>
  </si>
  <si>
    <t>Programador</t>
  </si>
  <si>
    <t>Ingeniero de pruebas (QA)</t>
  </si>
  <si>
    <t>Assessment: 0.2 + 1.0 + 7.4 + 1.2</t>
  </si>
  <si>
    <t>Tester</t>
  </si>
  <si>
    <t>Ingeniero DevOps (ambiente, configuración y despliegue)</t>
  </si>
  <si>
    <t>Environment/CM 2.7 + Deployment 2.8</t>
  </si>
  <si>
    <t>Implementador</t>
  </si>
  <si>
    <t>Los persona-mes de la columna H suman 48.0, la distribución por actividad de COCOMO II del Documento 1 (hoja COCOMO_Doc1).</t>
  </si>
  <si>
    <t>Columna C: sueldo base de la Práctica 1 × factor de ajuste (Notas B27), para que el promedio ponderado por persona-mes sea de 32,000 MXN (200 MXN/h).</t>
  </si>
  <si>
    <t>Desglose de costos por integrante del equipo del proyecto</t>
  </si>
  <si>
    <t>Valores base del libro: sueldo por puesto (Sueldos), costo indirecto por empleado al mes (Costos Indirectos), equipo de cómputo, Office 365 y licencias de herramientas (Hw&amp;SW) y meses de cada puesto (Sueldos).</t>
  </si>
  <si>
    <t>#</t>
  </si>
  <si>
    <t>Integrante</t>
  </si>
  <si>
    <t>Meses equivalentes</t>
  </si>
  <si>
    <t>Sueldo mensual (MXN)</t>
  </si>
  <si>
    <t>Sueldo total (MXN)</t>
  </si>
  <si>
    <t>Indirectos (MXN)</t>
  </si>
  <si>
    <t>Licencia de herramientas (MXN)</t>
  </si>
  <si>
    <t>Equipo de cómputo asignado</t>
  </si>
  <si>
    <t>Costo del equipo de cómputo (MXN)</t>
  </si>
  <si>
    <t>Office 365 (MXN)</t>
  </si>
  <si>
    <t>Total por integrante (MXN)</t>
  </si>
  <si>
    <t>Total (USD)</t>
  </si>
  <si>
    <t>% del total</t>
  </si>
  <si>
    <t>Integrante 1</t>
  </si>
  <si>
    <t>HP Pavilion</t>
  </si>
  <si>
    <t>Integrante 2</t>
  </si>
  <si>
    <t>Integrante 3</t>
  </si>
  <si>
    <t>Dell Inspiron</t>
  </si>
  <si>
    <t>Integrante 4</t>
  </si>
  <si>
    <t>Integrante 5</t>
  </si>
  <si>
    <t>MacBook Pro</t>
  </si>
  <si>
    <t>Integrante 6</t>
  </si>
  <si>
    <t>Integrante 7</t>
  </si>
  <si>
    <t>Comprobación contra las otras hojas</t>
  </si>
  <si>
    <t>Sueldo total = Sueldos!F18</t>
  </si>
  <si>
    <t>Indirectos = TotalProyecto!C4</t>
  </si>
  <si>
    <t>Licencias = 'Hw&amp;SW'!E8</t>
  </si>
  <si>
    <t>Equipo de cómputo = 'Hw&amp;SW'!E10:E12</t>
  </si>
  <si>
    <t>Office 365 = 'Hw&amp;SW'!E13</t>
  </si>
  <si>
    <t>Meses equivalentes = persona-mes de Sueldos</t>
  </si>
  <si>
    <t>Notas</t>
  </si>
  <si>
    <t>Los integrantes se identifican por puesto; los nombres se capturan en la columna B cuando se asigne el personal.</t>
  </si>
  <si>
    <t>El puesto Desarrollador .NET tiene 2 recursos en la hoja Sueldos, por eso aparece en dos renglones con 6.45 meses cada uno.</t>
  </si>
  <si>
    <t>Indirectos = costo indirecto por empleado al mes × 15 meses: cada integrante ocupa un lugar en la oficina durante todo el proyecto.</t>
  </si>
  <si>
    <t>La MacBook Pro se asigna al desarrollador que compila la versión iOS de la aplicación .NET MAUI.</t>
  </si>
  <si>
    <t>Otros Costos</t>
  </si>
  <si>
    <t>Nùmero</t>
  </si>
  <si>
    <t>Costo (MXN)</t>
  </si>
  <si>
    <t>Total (MXN)</t>
  </si>
  <si>
    <t>Costo (USD)</t>
  </si>
  <si>
    <t>Auditoría de seguridad y pruebas de penetración</t>
  </si>
  <si>
    <t>Gestión del cambio y comunicación interna</t>
  </si>
  <si>
    <t>No se presupuestan viajes: el proyecto se ejecuta en la Ciudad de México y la integración con el corporativo de España es por web service.</t>
  </si>
  <si>
    <t>Resumen Costos</t>
  </si>
  <si>
    <t>Descripciòn</t>
  </si>
  <si>
    <t>Origen</t>
  </si>
  <si>
    <t>Indirectos</t>
  </si>
  <si>
    <t>Costo indirecto por empleado al mes × 7 empleados × 15 meses (fórmula de la plantilla y de la P1)</t>
  </si>
  <si>
    <t>Hoja Hw&amp;SW, incluye equipo de cómputo y Office 365 del equipo (Documento 2, sección 3.3)</t>
  </si>
  <si>
    <t>Hoja Sueldos: 48.0 persona-mes (COCOMO II) × 32,000 MXN</t>
  </si>
  <si>
    <t>Otros</t>
  </si>
  <si>
    <t>Hoja Otros (Documento 2, sección 3.3)</t>
  </si>
  <si>
    <t>Costos directos del proyecto</t>
  </si>
  <si>
    <t>Suma de los cuatro rubros anteriores</t>
  </si>
  <si>
    <t>Reserva de contingencia (10%)</t>
  </si>
  <si>
    <t>Documento 2, sección 3.3</t>
  </si>
  <si>
    <t>Línea base de costos</t>
  </si>
  <si>
    <t>Costos directos más la reserva de contingencia</t>
  </si>
  <si>
    <t>Reserva de gestión</t>
  </si>
  <si>
    <t>Lo que resta del presupuesto autorizado; queda bajo control del patrocinador</t>
  </si>
  <si>
    <t>Presupuesto autorizado</t>
  </si>
  <si>
    <t>Enunciado de la Práctica 2: 2 millones de USD</t>
  </si>
  <si>
    <t>Margen de la línea base contra el presupuesto</t>
  </si>
  <si>
    <t>La línea base debe caber en el presupuesto autorizado</t>
  </si>
  <si>
    <t>Las cifras de este resumen coinciden con el Documento 2, sección 3.3: costos directos, reservas y presupuesto autorizado, incluidos los costos indirectos.</t>
  </si>
  <si>
    <t>Esfuerzo COCOMO II (persona-mes)</t>
  </si>
  <si>
    <t>Duración del proyecto (meses)</t>
  </si>
  <si>
    <t>Costos del proyecto – Academia de idiomas (Equipo 7)</t>
  </si>
  <si>
    <t>Parámetros del cálculo (celdas que se pueden ajustar)</t>
  </si>
  <si>
    <t>Tipo de cambio (MXN por USD)</t>
  </si>
  <si>
    <t>Tipo de cambio de referencia usado en el Documento 2.</t>
  </si>
  <si>
    <t>Documento 1, gráfica de Gantt: Inicio 1.5, Elaboración 4.5, Construcción 7.4 y Transición 1.5 meses (≈ 15 meses).</t>
  </si>
  <si>
    <t>Equipo máximo del proyecto (personas)</t>
  </si>
  <si>
    <t>Personas simultáneas en la hoja Sueldos. El promedio es 48.0 persona-mes / 15 meses = 3.2 personas.</t>
  </si>
  <si>
    <t>Esfuerzo total (persona-mes)</t>
  </si>
  <si>
    <t>COCOMO II de diseño temprano (Documento 1): 40.6 PM en Elaboración y Construcción; 47.9 PM con Inicio y Transición; la distribución por actividad suma 48.0 PM.</t>
  </si>
  <si>
    <t>Sueldo por hora (MXN)</t>
  </si>
  <si>
    <t>Enunciado de la Práctica 2: sueldo promedio de 200 pesos la hora.</t>
  </si>
  <si>
    <t>Horas por mes</t>
  </si>
  <si>
    <t>Base mensual usada en el Documento 2 (160 h/mes).</t>
  </si>
  <si>
    <t>Notas del Equipo 7</t>
  </si>
  <si>
    <t>1. Las cifras del Documento 2 están en dólares; en este libro se convierten a pesos con el tipo de cambio de la celda B3, porque la plantilla y el sueldo de la práctica están en pesos.</t>
  </si>
  <si>
    <t>2. Sueldos: la práctica fija un sueldo promedio de 200 pesos por hora. Cada puesto parte del sueldo de la Práctica 1 y se ajusta con un factor común para que el promedio ponderado por persona-mes sea de 32,000 MXN (200 × 160 h); el total de sueldos no cambia.</t>
  </si>
  <si>
    <t>3. En la hoja Sueldos, los persona-mes de cada puesto salen de la distribución por actividad RUP/MBASE de COCOMO II (hoja COCOMO_Doc1). Recursos es el número máximo de personas simultáneas y Tiempo a Utilizar son los meses equivalentes de tiempo completo.</t>
  </si>
  <si>
    <t>4. Correcciones a las fórmulas de la plantilla: en Hw&amp;SW cada renglón multiplica cantidad por costo y, cuando el gasto es recurrente, por los meses. En TotalProyecto el total suma C4:C7 (incluye Otros).</t>
  </si>
  <si>
    <t>5. Los costos indirectos (renta, luz, agua, limpieza, papelería, varios y caja) son valores de referencia de la plantilla. Como en la Práctica 1, se reparten entre los empleados del equipo (7) y se cargan por empleado × meses del proyecto.</t>
  </si>
  <si>
    <t>6. La reserva de contingencia (10%) y la reserva de gestión coinciden con el Documento 2, sección 3.3.</t>
  </si>
  <si>
    <t>7. La distribución por actividad de COCOMO II suma 48.0 PM y la de fases 47.9 PM (costo de la herramienta: $1,532,357 MXN). El presupuesto usa 48.0 PM: $3,643 MXN más (0.2%), por redondeo del reporte.</t>
  </si>
  <si>
    <t>Comparación de esfuerzo con la Práctica 1</t>
  </si>
  <si>
    <t>Horas estimadas por puntos de casos de uso (P1_Costos_Proyecto_UCP_4, UUCP!E50)</t>
  </si>
  <si>
    <t>Horas estimadas con COCOMO II (48.0 persona-mes × 160 h)</t>
  </si>
  <si>
    <t>Diferencia COCOMO II contra UCP</t>
  </si>
  <si>
    <t>La diferencia es de alrededor de 8%, lo que respalda el esfuerzo de COCOMO II.</t>
  </si>
  <si>
    <t>Ajuste de sueldos por puesto (Práctica 1 → promedio de 200 MXN/h)</t>
  </si>
  <si>
    <t>Promedio ponderado de los sueldos base de la P1 (MXN/mes)</t>
  </si>
  <si>
    <t>Factor de ajuste = 32,000 ÷ promedio ponderado</t>
  </si>
  <si>
    <t>Mismo criterio que el libro P2_Estimacion_Tiempo_Costo_PF. El DevOps toma el sueldo del Implementador de la P1, el puesto de despliegue más parecido.</t>
  </si>
  <si>
    <t>COCOMO II de diseño temprano – resultados del Documento 1 (P2_JD)</t>
  </si>
  <si>
    <t>136 PF sin ajustar, lenguaje de 3ª generación (10,880 SLOC), factores de escala y de costo nominales, EAF = 1.00, 32,000 MXN por persona-mes.</t>
  </si>
  <si>
    <t>Escenario</t>
  </si>
  <si>
    <t>Costo de personal</t>
  </si>
  <si>
    <t>Línea base</t>
  </si>
  <si>
    <t>Margen vs. $2 MDD</t>
  </si>
  <si>
    <t>Inicio</t>
  </si>
  <si>
    <t>Elaboración</t>
  </si>
  <si>
    <t>Construcción</t>
  </si>
  <si>
    <t>Transición</t>
  </si>
  <si>
    <t>Elaboración + Construcción (lo que reporta COCOMO II como Effort y Schedule)</t>
  </si>
  <si>
    <t>La herramienta reporta 40.6 PM por redondeo de las fases.</t>
  </si>
  <si>
    <t>Actividad</t>
  </si>
  <si>
    <t>Total (PM)</t>
  </si>
  <si>
    <t>Puesto en la hoja Sueldos</t>
  </si>
  <si>
    <t>Management</t>
  </si>
  <si>
    <t>Environment/CM</t>
  </si>
  <si>
    <t>Ingeniero DevOps</t>
  </si>
  <si>
    <t>Requirements</t>
  </si>
  <si>
    <t>Design</t>
  </si>
  <si>
    <t>Arquitecto y diseñador</t>
  </si>
  <si>
    <t>Implementation</t>
  </si>
  <si>
    <t>Desarrolladores .NET (2)</t>
  </si>
  <si>
    <t>Assessment</t>
  </si>
  <si>
    <t>Deployment</t>
  </si>
  <si>
    <t>Compresión máxima del calendario (SCED muy bajo = 75%, multiplicador 1.43)</t>
  </si>
  <si>
    <t>Duración comprimida (meses)</t>
  </si>
  <si>
    <t>Esfuerzo con compresión (PM)</t>
  </si>
  <si>
    <t>Aun con la compresión máxima del modelo, la duración queda por encima de los 10 meses del enunciado.</t>
  </si>
  <si>
    <t>Análisis de sensibilidad (USD) – Documento 2, sección 3.3</t>
  </si>
  <si>
    <t>Las demás partidas se mantienen constantes, incluidos los indirectos (oficina del equipo durante los 15 meses).</t>
  </si>
  <si>
    <t>Base: COCOMO II (48.0 PM, $200 MXN/h)</t>
  </si>
  <si>
    <t>Esfuerzo +30%</t>
  </si>
  <si>
    <t>Calendario comprimido al 75% (SCED 1.43)</t>
  </si>
  <si>
    <t>Tarifa de mercado ($35 USD/h)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</si>
</sst>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0.0"/>
    <numFmt numFmtId="166" formatCode="\$#,##0.00"/>
    <numFmt numFmtId="167" formatCode="0.0%"/>
    <numFmt numFmtId="168" formatCode="#,##0.0"/>
    <numFmt numFmtId="169" formatCode="0.000000"/>
  </numFmts>
  <fonts count="10" x14ac:knownFonts="1">
    <font>
      <sz val="11"/>
      <color theme="1"/>
      <name val="Calibri"/>
      <family val="2"/>
      <charset val="1"/>
    </font>
    <font>
      <i/>
      <sz val="10"/>
      <name val="Calibri"/>
      <charset val="1"/>
    </font>
    <font>
      <sz val="10"/>
      <name val="Arial"/>
      <family val="2"/>
    </font>
    <font>
      <b/>
      <sz val="11"/>
      <name val="Calibri"/>
      <charset val="1"/>
    </font>
    <font>
      <b/>
      <sz val="12"/>
      <color rgb="FF156082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3"/>
      <color rgb="FF156082"/>
      <name val="Calibri"/>
      <charset val="1"/>
    </font>
    <font>
      <b/>
      <sz val="11"/>
      <color rgb="FF156082"/>
      <name val="Calibri"/>
      <charset val="1"/>
    </font>
    <font>
      <sz val="11"/>
      <color rgb="FF0000FF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rgb="FFDCEBF2"/>
      </patternFill>
    </fill>
    <fill>
      <patternFill patternType="solid">
        <fgColor rgb="FF156082"/>
        <bgColor rgb="FF008080"/>
      </patternFill>
    </fill>
    <fill>
      <patternFill patternType="solid">
        <fgColor rgb="FFDCEBF2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/>
    </xf>
    <xf numFmtId="0" fontId="1" fillId="0" borderId="0" xfId="0" applyFont="1" applyAlignment="1">
      <alignment vertical="top" wrapText="1"/>
    </xf>
    <xf numFmtId="0" fontId="0" fillId="4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1" fillId="0" borderId="0" xfId="0" applyFont="1"/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/>
    <xf numFmtId="165" fontId="3" fillId="0" borderId="1" xfId="0" applyNumberFormat="1" applyFont="1" applyBorder="1"/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6" fillId="6" borderId="1" xfId="0" applyFont="1" applyFill="1" applyBorder="1"/>
    <xf numFmtId="2" fontId="6" fillId="6" borderId="1" xfId="0" applyNumberFormat="1" applyFont="1" applyFill="1" applyBorder="1"/>
    <xf numFmtId="164" fontId="6" fillId="6" borderId="1" xfId="0" applyNumberFormat="1" applyFont="1" applyFill="1" applyBorder="1"/>
    <xf numFmtId="166" fontId="6" fillId="6" borderId="1" xfId="0" applyNumberFormat="1" applyFont="1" applyFill="1" applyBorder="1"/>
    <xf numFmtId="167" fontId="6" fillId="6" borderId="1" xfId="0" applyNumberFormat="1" applyFont="1" applyFill="1" applyBorder="1"/>
    <xf numFmtId="0" fontId="6" fillId="0" borderId="0" xfId="0" applyFont="1"/>
    <xf numFmtId="164" fontId="0" fillId="4" borderId="1" xfId="0" applyNumberFormat="1" applyFill="1" applyBorder="1"/>
    <xf numFmtId="164" fontId="3" fillId="0" borderId="1" xfId="0" applyNumberFormat="1" applyFont="1" applyBorder="1"/>
    <xf numFmtId="0" fontId="0" fillId="0" borderId="1" xfId="0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vertical="top" wrapText="1"/>
    </xf>
    <xf numFmtId="165" fontId="9" fillId="0" borderId="0" xfId="0" applyNumberFormat="1" applyFont="1"/>
    <xf numFmtId="168" fontId="0" fillId="0" borderId="0" xfId="0" applyNumberFormat="1"/>
    <xf numFmtId="167" fontId="0" fillId="0" borderId="0" xfId="0" applyNumberFormat="1"/>
    <xf numFmtId="169" fontId="0" fillId="0" borderId="0" xfId="0" applyNumberFormat="1"/>
    <xf numFmtId="165" fontId="6" fillId="0" borderId="1" xfId="0" applyNumberFormat="1" applyFont="1" applyBorder="1"/>
    <xf numFmtId="164" fontId="6" fillId="0" borderId="1" xfId="0" applyNumberFormat="1" applyFont="1" applyBorder="1"/>
    <xf numFmtId="165" fontId="0" fillId="0" borderId="0" xfId="0" applyNumberFormat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DCEB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1"/>
  <sheetViews>
    <sheetView zoomScaleNormal="100" workbookViewId="0">
      <selection activeCell="I2" sqref="I2"/>
    </sheetView>
  </sheetViews>
  <sheetFormatPr baseColWidth="10" defaultColWidth="10.7109375" defaultRowHeight="15" x14ac:dyDescent="0.25"/>
  <cols>
    <col min="3" max="3" width="12.5703125" style="7" customWidth="1"/>
    <col min="4" max="4" width="11.5703125" style="7" customWidth="1"/>
    <col min="5" max="5" width="17.42578125" style="7" customWidth="1"/>
    <col min="8" max="8" width="24" customWidth="1"/>
  </cols>
  <sheetData>
    <row r="1" spans="2:9" ht="15" customHeight="1" x14ac:dyDescent="0.25">
      <c r="B1" s="5" t="s">
        <v>0</v>
      </c>
      <c r="C1" s="5"/>
      <c r="D1" s="5"/>
      <c r="E1" s="5"/>
    </row>
    <row r="2" spans="2:9" ht="15" customHeight="1" x14ac:dyDescent="0.25">
      <c r="B2" s="8" t="s">
        <v>1</v>
      </c>
      <c r="C2" s="9" t="s">
        <v>2</v>
      </c>
      <c r="D2" s="9" t="s">
        <v>3</v>
      </c>
      <c r="E2" s="9" t="s">
        <v>4</v>
      </c>
      <c r="H2" s="10" t="s">
        <v>5</v>
      </c>
      <c r="I2" s="10">
        <f>'Hw&amp;SW'!J3</f>
        <v>7</v>
      </c>
    </row>
    <row r="3" spans="2:9" ht="15" customHeight="1" x14ac:dyDescent="0.25">
      <c r="B3" s="11"/>
      <c r="C3" s="12"/>
      <c r="D3" s="12"/>
      <c r="E3" s="12"/>
    </row>
    <row r="4" spans="2:9" ht="15" customHeight="1" x14ac:dyDescent="0.25">
      <c r="B4" s="11" t="s">
        <v>6</v>
      </c>
      <c r="C4" s="12">
        <v>250000</v>
      </c>
      <c r="D4" s="12">
        <f t="shared" ref="D4:D10" si="0">+C4/12</f>
        <v>20833.333333333332</v>
      </c>
      <c r="E4" s="13">
        <f t="shared" ref="E4:E10" si="1">+D4/$I$2</f>
        <v>2976.1904761904761</v>
      </c>
    </row>
    <row r="5" spans="2:9" ht="15" customHeight="1" x14ac:dyDescent="0.25">
      <c r="B5" s="11" t="s">
        <v>7</v>
      </c>
      <c r="C5" s="12">
        <v>36000</v>
      </c>
      <c r="D5" s="12">
        <f t="shared" si="0"/>
        <v>3000</v>
      </c>
      <c r="E5" s="13">
        <f t="shared" si="1"/>
        <v>428.57142857142856</v>
      </c>
    </row>
    <row r="6" spans="2:9" ht="15" customHeight="1" x14ac:dyDescent="0.25">
      <c r="B6" s="11" t="s">
        <v>8</v>
      </c>
      <c r="C6" s="12">
        <v>12000</v>
      </c>
      <c r="D6" s="12">
        <f t="shared" si="0"/>
        <v>1000</v>
      </c>
      <c r="E6" s="13">
        <f t="shared" si="1"/>
        <v>142.85714285714286</v>
      </c>
    </row>
    <row r="7" spans="2:9" ht="15" customHeight="1" x14ac:dyDescent="0.25">
      <c r="B7" s="11" t="s">
        <v>9</v>
      </c>
      <c r="C7" s="12">
        <v>55000</v>
      </c>
      <c r="D7" s="12">
        <f t="shared" si="0"/>
        <v>4583.333333333333</v>
      </c>
      <c r="E7" s="13">
        <f t="shared" si="1"/>
        <v>654.7619047619047</v>
      </c>
    </row>
    <row r="8" spans="2:9" ht="15" customHeight="1" x14ac:dyDescent="0.25">
      <c r="B8" s="11" t="s">
        <v>10</v>
      </c>
      <c r="C8" s="12">
        <v>18000</v>
      </c>
      <c r="D8" s="12">
        <f t="shared" si="0"/>
        <v>1500</v>
      </c>
      <c r="E8" s="13">
        <f t="shared" si="1"/>
        <v>214.28571428571428</v>
      </c>
    </row>
    <row r="9" spans="2:9" ht="15" customHeight="1" x14ac:dyDescent="0.25">
      <c r="B9" s="11" t="s">
        <v>11</v>
      </c>
      <c r="C9" s="12">
        <v>24000</v>
      </c>
      <c r="D9" s="12">
        <f t="shared" si="0"/>
        <v>2000</v>
      </c>
      <c r="E9" s="13">
        <f t="shared" si="1"/>
        <v>285.71428571428572</v>
      </c>
    </row>
    <row r="10" spans="2:9" ht="15" customHeight="1" x14ac:dyDescent="0.25">
      <c r="B10" s="11" t="s">
        <v>12</v>
      </c>
      <c r="C10" s="12">
        <v>12000</v>
      </c>
      <c r="D10" s="12">
        <f t="shared" si="0"/>
        <v>1000</v>
      </c>
      <c r="E10" s="13">
        <f t="shared" si="1"/>
        <v>142.85714285714286</v>
      </c>
    </row>
    <row r="11" spans="2:9" ht="15" customHeight="1" x14ac:dyDescent="0.25">
      <c r="B11" s="11"/>
      <c r="C11" s="12"/>
      <c r="D11" s="12"/>
      <c r="E11" s="12"/>
    </row>
    <row r="12" spans="2:9" ht="15" customHeight="1" x14ac:dyDescent="0.25">
      <c r="B12" s="11"/>
      <c r="C12" s="12"/>
      <c r="D12" s="12"/>
      <c r="E12" s="12"/>
    </row>
    <row r="13" spans="2:9" ht="15" customHeight="1" x14ac:dyDescent="0.25">
      <c r="B13" s="11"/>
      <c r="C13" s="12"/>
      <c r="D13" s="12"/>
      <c r="E13" s="12"/>
    </row>
    <row r="14" spans="2:9" ht="15" customHeight="1" x14ac:dyDescent="0.25">
      <c r="B14" s="11"/>
      <c r="C14" s="12"/>
      <c r="D14" s="12"/>
      <c r="E14" s="12"/>
    </row>
    <row r="15" spans="2:9" ht="15" customHeight="1" x14ac:dyDescent="0.25">
      <c r="B15" s="11"/>
      <c r="C15" s="12"/>
      <c r="D15" s="12"/>
      <c r="E15" s="12"/>
    </row>
    <row r="16" spans="2:9" ht="15" customHeight="1" x14ac:dyDescent="0.25">
      <c r="B16" s="11"/>
      <c r="C16" s="12"/>
      <c r="D16" s="12"/>
      <c r="E16" s="12"/>
    </row>
    <row r="17" spans="2:5" ht="15" customHeight="1" x14ac:dyDescent="0.25">
      <c r="B17" s="11"/>
      <c r="C17" s="12"/>
      <c r="D17" s="12"/>
      <c r="E17" s="12"/>
    </row>
    <row r="18" spans="2:5" ht="15" customHeight="1" x14ac:dyDescent="0.25">
      <c r="B18" s="11"/>
      <c r="C18" s="12"/>
      <c r="D18" s="12"/>
      <c r="E18" s="12"/>
    </row>
    <row r="19" spans="2:5" ht="15" customHeight="1" x14ac:dyDescent="0.25">
      <c r="B19" s="11" t="s">
        <v>13</v>
      </c>
      <c r="C19" s="12">
        <f>SUM(C4:C18)</f>
        <v>407000</v>
      </c>
      <c r="D19" s="12">
        <f>SUM(D4:D18)</f>
        <v>33916.666666666664</v>
      </c>
      <c r="E19" s="13">
        <f>+D19/$I$2</f>
        <v>4845.2380952380945</v>
      </c>
    </row>
    <row r="21" spans="2:5" ht="15" customHeight="1" x14ac:dyDescent="0.25">
      <c r="B21" s="14"/>
    </row>
  </sheetData>
  <mergeCells count="1">
    <mergeCell ref="B1:E1"/>
  </mergeCells>
  <pageMargins left="0.7" right="0.7" top="0.75" bottom="0.75" header="0.511811023622047" footer="0.511811023622047"/>
  <pageSetup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8"/>
  <sheetViews>
    <sheetView zoomScaleNormal="100" workbookViewId="0">
      <selection activeCell="E22" sqref="E22"/>
    </sheetView>
  </sheetViews>
  <sheetFormatPr baseColWidth="10" defaultColWidth="10.7109375" defaultRowHeight="15" x14ac:dyDescent="0.25"/>
  <cols>
    <col min="2" max="2" width="38.42578125" style="15" customWidth="1"/>
    <col min="3" max="3" width="7.7109375" customWidth="1"/>
    <col min="4" max="4" width="15" style="7" customWidth="1"/>
    <col min="5" max="5" width="18" style="7" customWidth="1"/>
    <col min="6" max="6" width="34" customWidth="1"/>
    <col min="7" max="7" width="19" customWidth="1"/>
    <col min="9" max="9" width="28.42578125" customWidth="1"/>
  </cols>
  <sheetData>
    <row r="1" spans="2:10" ht="15" customHeight="1" x14ac:dyDescent="0.25">
      <c r="B1" s="4" t="s">
        <v>14</v>
      </c>
      <c r="C1" s="4"/>
      <c r="D1" s="4"/>
      <c r="E1" s="4"/>
    </row>
    <row r="2" spans="2:10" ht="27.75" customHeight="1" x14ac:dyDescent="0.25">
      <c r="B2" s="16" t="s">
        <v>1</v>
      </c>
      <c r="C2" s="16" t="s">
        <v>15</v>
      </c>
      <c r="D2" s="17" t="s">
        <v>16</v>
      </c>
      <c r="E2" s="17" t="s">
        <v>17</v>
      </c>
      <c r="F2" s="17" t="s">
        <v>18</v>
      </c>
      <c r="G2" s="17" t="s">
        <v>19</v>
      </c>
      <c r="I2" s="18" t="s">
        <v>20</v>
      </c>
      <c r="J2" s="10">
        <f>Notas!B4</f>
        <v>15</v>
      </c>
    </row>
    <row r="3" spans="2:10" ht="15" customHeight="1" x14ac:dyDescent="0.25">
      <c r="B3" s="19" t="s">
        <v>21</v>
      </c>
      <c r="C3" s="10">
        <v>500</v>
      </c>
      <c r="D3" s="13">
        <f>+G3*Notas!$B$3</f>
        <v>22200</v>
      </c>
      <c r="E3" s="13">
        <f>+C3*D3</f>
        <v>11100000</v>
      </c>
      <c r="F3" s="19" t="s">
        <v>22</v>
      </c>
      <c r="G3" s="13">
        <v>1200</v>
      </c>
      <c r="I3" s="18" t="s">
        <v>23</v>
      </c>
      <c r="J3" s="10">
        <f>Notas!B5</f>
        <v>7</v>
      </c>
    </row>
    <row r="4" spans="2:10" ht="30" customHeight="1" x14ac:dyDescent="0.25">
      <c r="B4" s="19" t="s">
        <v>24</v>
      </c>
      <c r="C4" s="10">
        <v>500</v>
      </c>
      <c r="D4" s="13">
        <f>+G4*Notas!$B$3</f>
        <v>2775</v>
      </c>
      <c r="E4" s="13">
        <f>+C4*D4</f>
        <v>1387500</v>
      </c>
      <c r="F4" s="19" t="s">
        <v>25</v>
      </c>
      <c r="G4" s="13">
        <v>150</v>
      </c>
    </row>
    <row r="5" spans="2:10" ht="15" customHeight="1" x14ac:dyDescent="0.25">
      <c r="B5" s="19" t="s">
        <v>26</v>
      </c>
      <c r="C5" s="10">
        <v>50</v>
      </c>
      <c r="D5" s="13">
        <f>+G5*Notas!$B$3</f>
        <v>18500</v>
      </c>
      <c r="E5" s="13">
        <f>+C5*D5</f>
        <v>925000</v>
      </c>
      <c r="F5" s="19" t="s">
        <v>22</v>
      </c>
      <c r="G5" s="13">
        <v>1000</v>
      </c>
    </row>
    <row r="6" spans="2:10" ht="30" customHeight="1" x14ac:dyDescent="0.25">
      <c r="B6" s="19" t="s">
        <v>27</v>
      </c>
      <c r="C6" s="10">
        <v>50</v>
      </c>
      <c r="D6" s="13">
        <f>+G6*Notas!$B$3</f>
        <v>4884</v>
      </c>
      <c r="E6" s="13">
        <f>+C6*D6</f>
        <v>244200</v>
      </c>
      <c r="F6" s="19" t="s">
        <v>28</v>
      </c>
      <c r="G6" s="13">
        <v>264</v>
      </c>
    </row>
    <row r="7" spans="2:10" ht="15" customHeight="1" x14ac:dyDescent="0.25">
      <c r="B7" s="19" t="s">
        <v>29</v>
      </c>
      <c r="C7" s="10">
        <v>1</v>
      </c>
      <c r="D7" s="13">
        <f>+G7*Notas!$B$3</f>
        <v>55500</v>
      </c>
      <c r="E7" s="13">
        <f>+C7*D7*$J$2</f>
        <v>832500</v>
      </c>
      <c r="F7" s="19" t="s">
        <v>30</v>
      </c>
      <c r="G7" s="13">
        <v>3000</v>
      </c>
    </row>
    <row r="8" spans="2:10" ht="27.75" customHeight="1" x14ac:dyDescent="0.25">
      <c r="B8" s="19" t="s">
        <v>31</v>
      </c>
      <c r="C8" s="10">
        <f>J3</f>
        <v>7</v>
      </c>
      <c r="D8" s="13">
        <f>+G8*Notas!$B$3</f>
        <v>18500</v>
      </c>
      <c r="E8" s="13">
        <f t="shared" ref="E8:E13" si="0">+C8*D8</f>
        <v>129500</v>
      </c>
      <c r="F8" s="19" t="s">
        <v>32</v>
      </c>
      <c r="G8" s="13">
        <v>1000</v>
      </c>
    </row>
    <row r="9" spans="2:10" ht="27.75" customHeight="1" x14ac:dyDescent="0.25">
      <c r="B9" s="19" t="s">
        <v>33</v>
      </c>
      <c r="C9" s="10">
        <v>1</v>
      </c>
      <c r="D9" s="13">
        <f>+G9*Notas!$B$3</f>
        <v>185000</v>
      </c>
      <c r="E9" s="13">
        <f t="shared" si="0"/>
        <v>185000</v>
      </c>
      <c r="F9" s="19" t="s">
        <v>34</v>
      </c>
      <c r="G9" s="13">
        <v>10000</v>
      </c>
    </row>
    <row r="10" spans="2:10" ht="15" customHeight="1" x14ac:dyDescent="0.25">
      <c r="B10" s="19" t="s">
        <v>35</v>
      </c>
      <c r="C10" s="10">
        <v>1</v>
      </c>
      <c r="D10" s="13">
        <v>39000</v>
      </c>
      <c r="E10" s="13">
        <f t="shared" si="0"/>
        <v>39000</v>
      </c>
      <c r="F10" s="19" t="s">
        <v>36</v>
      </c>
      <c r="G10" s="13">
        <f>+D10/Notas!$B$3</f>
        <v>2108.1081081081079</v>
      </c>
    </row>
    <row r="11" spans="2:10" ht="15" customHeight="1" x14ac:dyDescent="0.25">
      <c r="B11" s="19" t="s">
        <v>37</v>
      </c>
      <c r="C11" s="10">
        <v>3</v>
      </c>
      <c r="D11" s="13">
        <v>22000</v>
      </c>
      <c r="E11" s="13">
        <f t="shared" si="0"/>
        <v>66000</v>
      </c>
      <c r="F11" s="19" t="s">
        <v>36</v>
      </c>
      <c r="G11" s="13">
        <f>+D11/Notas!$B$3</f>
        <v>1189.1891891891892</v>
      </c>
    </row>
    <row r="12" spans="2:10" ht="15" customHeight="1" x14ac:dyDescent="0.25">
      <c r="B12" s="19" t="s">
        <v>38</v>
      </c>
      <c r="C12" s="10">
        <v>3</v>
      </c>
      <c r="D12" s="13">
        <v>18000</v>
      </c>
      <c r="E12" s="13">
        <f t="shared" si="0"/>
        <v>54000</v>
      </c>
      <c r="F12" s="19" t="s">
        <v>36</v>
      </c>
      <c r="G12" s="13">
        <f>+D12/Notas!$B$3</f>
        <v>972.97297297297303</v>
      </c>
    </row>
    <row r="13" spans="2:10" ht="15" customHeight="1" x14ac:dyDescent="0.25">
      <c r="B13" s="19" t="s">
        <v>39</v>
      </c>
      <c r="C13" s="10">
        <f>+$J$3</f>
        <v>7</v>
      </c>
      <c r="D13" s="13">
        <v>980</v>
      </c>
      <c r="E13" s="13">
        <f t="shared" si="0"/>
        <v>6860</v>
      </c>
      <c r="F13" s="19" t="s">
        <v>40</v>
      </c>
      <c r="G13" s="13">
        <f>+D13/Notas!$B$3</f>
        <v>52.972972972972975</v>
      </c>
    </row>
    <row r="14" spans="2:10" ht="15" customHeight="1" x14ac:dyDescent="0.25">
      <c r="B14" s="20"/>
      <c r="C14" s="10"/>
      <c r="D14" s="13"/>
      <c r="E14" s="13"/>
    </row>
    <row r="15" spans="2:10" ht="15" customHeight="1" x14ac:dyDescent="0.25">
      <c r="B15" s="20"/>
      <c r="C15" s="10"/>
      <c r="D15" s="13"/>
      <c r="E15" s="13"/>
    </row>
    <row r="16" spans="2:10" ht="15" customHeight="1" x14ac:dyDescent="0.25">
      <c r="B16" s="20" t="s">
        <v>41</v>
      </c>
      <c r="C16" s="10"/>
      <c r="D16" s="13"/>
      <c r="E16" s="13">
        <f>SUM(E3:E15)</f>
        <v>14969560</v>
      </c>
      <c r="G16" s="13">
        <f>+E16/Notas!$B$3</f>
        <v>809165.40540540544</v>
      </c>
    </row>
    <row r="18" spans="2:2" ht="15" customHeight="1" x14ac:dyDescent="0.25">
      <c r="B18" s="14"/>
    </row>
  </sheetData>
  <mergeCells count="1">
    <mergeCell ref="B1:E1"/>
  </mergeCells>
  <pageMargins left="0.7" right="0.7" top="0.75" bottom="0.75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K22"/>
  <sheetViews>
    <sheetView zoomScaleNormal="100" workbookViewId="0">
      <selection activeCell="E31" sqref="E31"/>
    </sheetView>
  </sheetViews>
  <sheetFormatPr baseColWidth="10" defaultColWidth="10.7109375" defaultRowHeight="15" x14ac:dyDescent="0.25"/>
  <cols>
    <col min="2" max="2" width="34" customWidth="1"/>
    <col min="3" max="3" width="11.42578125" style="7" customWidth="1"/>
    <col min="4" max="4" width="14" customWidth="1"/>
    <col min="5" max="5" width="13.42578125" customWidth="1"/>
    <col min="6" max="6" width="14.140625" customWidth="1"/>
    <col min="7" max="7" width="16" customWidth="1"/>
    <col min="8" max="8" width="14" customWidth="1"/>
    <col min="9" max="9" width="44" customWidth="1"/>
    <col min="10" max="10" width="16" customWidth="1"/>
    <col min="11" max="11" width="22" customWidth="1"/>
  </cols>
  <sheetData>
    <row r="2" spans="2:11" ht="15" customHeight="1" x14ac:dyDescent="0.25">
      <c r="B2" s="6" t="s">
        <v>42</v>
      </c>
      <c r="C2" s="6"/>
      <c r="D2" s="6"/>
      <c r="E2" s="6"/>
      <c r="F2" s="6"/>
      <c r="G2" s="6"/>
    </row>
    <row r="3" spans="2:11" ht="27.75" customHeight="1" x14ac:dyDescent="0.25">
      <c r="B3" s="16" t="s">
        <v>43</v>
      </c>
      <c r="C3" s="21" t="s">
        <v>44</v>
      </c>
      <c r="D3" s="16" t="s">
        <v>45</v>
      </c>
      <c r="E3" s="16" t="s">
        <v>46</v>
      </c>
      <c r="F3" s="16" t="s">
        <v>47</v>
      </c>
      <c r="G3" s="16" t="s">
        <v>48</v>
      </c>
      <c r="H3" s="16" t="s">
        <v>49</v>
      </c>
      <c r="I3" s="16" t="s">
        <v>50</v>
      </c>
      <c r="J3" s="22" t="s">
        <v>51</v>
      </c>
      <c r="K3" s="22" t="s">
        <v>52</v>
      </c>
    </row>
    <row r="4" spans="2:11" ht="15" customHeight="1" x14ac:dyDescent="0.25">
      <c r="B4" s="19" t="s">
        <v>53</v>
      </c>
      <c r="C4" s="13">
        <f>J4*Notas!$B$27</f>
        <v>35623.023402909552</v>
      </c>
      <c r="D4" s="10">
        <v>1</v>
      </c>
      <c r="E4" s="13">
        <f t="shared" ref="E4:E9" si="0">+D4*C4</f>
        <v>35623.023402909552</v>
      </c>
      <c r="F4" s="13">
        <f t="shared" ref="F4:F9" si="1">+E4*G4</f>
        <v>188802.02403542062</v>
      </c>
      <c r="G4" s="23">
        <v>5.3</v>
      </c>
      <c r="H4" s="23">
        <f t="shared" ref="H4:H9" si="2">+D4*G4</f>
        <v>5.3</v>
      </c>
      <c r="I4" s="10" t="s">
        <v>54</v>
      </c>
      <c r="J4" s="13">
        <v>33000</v>
      </c>
      <c r="K4" s="10" t="s">
        <v>55</v>
      </c>
    </row>
    <row r="5" spans="2:11" ht="15" customHeight="1" x14ac:dyDescent="0.25">
      <c r="B5" s="19" t="s">
        <v>56</v>
      </c>
      <c r="C5" s="13">
        <f>J5*Notas!$B$27</f>
        <v>26987.138941598143</v>
      </c>
      <c r="D5" s="10">
        <v>1</v>
      </c>
      <c r="E5" s="13">
        <f t="shared" si="0"/>
        <v>26987.138941598143</v>
      </c>
      <c r="F5" s="13">
        <f t="shared" si="1"/>
        <v>145730.55028462998</v>
      </c>
      <c r="G5" s="23">
        <v>5.4</v>
      </c>
      <c r="H5" s="23">
        <f t="shared" si="2"/>
        <v>5.4</v>
      </c>
      <c r="I5" s="10" t="s">
        <v>57</v>
      </c>
      <c r="J5" s="13">
        <v>25000</v>
      </c>
      <c r="K5" s="10" t="s">
        <v>58</v>
      </c>
    </row>
    <row r="6" spans="2:11" ht="15" customHeight="1" x14ac:dyDescent="0.25">
      <c r="B6" s="19" t="s">
        <v>59</v>
      </c>
      <c r="C6" s="13">
        <f>J6*Notas!$B$27</f>
        <v>37781.994518237399</v>
      </c>
      <c r="D6" s="10">
        <v>1</v>
      </c>
      <c r="E6" s="13">
        <f t="shared" si="0"/>
        <v>37781.994518237399</v>
      </c>
      <c r="F6" s="13">
        <f t="shared" si="1"/>
        <v>343816.15011596034</v>
      </c>
      <c r="G6" s="23">
        <v>9.1</v>
      </c>
      <c r="H6" s="23">
        <f t="shared" si="2"/>
        <v>9.1</v>
      </c>
      <c r="I6" s="10" t="s">
        <v>60</v>
      </c>
      <c r="J6" s="13">
        <v>35000</v>
      </c>
      <c r="K6" s="10" t="s">
        <v>61</v>
      </c>
    </row>
    <row r="7" spans="2:11" ht="15" customHeight="1" x14ac:dyDescent="0.25">
      <c r="B7" s="19" t="s">
        <v>62</v>
      </c>
      <c r="C7" s="13">
        <f>J7*Notas!$B$27</f>
        <v>43179.422306557026</v>
      </c>
      <c r="D7" s="10">
        <v>2</v>
      </c>
      <c r="E7" s="13">
        <f t="shared" si="0"/>
        <v>86358.844613114052</v>
      </c>
      <c r="F7" s="13">
        <f t="shared" si="1"/>
        <v>557014.54775458563</v>
      </c>
      <c r="G7" s="23">
        <v>6.45</v>
      </c>
      <c r="H7" s="23">
        <f t="shared" si="2"/>
        <v>12.9</v>
      </c>
      <c r="I7" s="10" t="s">
        <v>63</v>
      </c>
      <c r="J7" s="13">
        <v>40000</v>
      </c>
      <c r="K7" s="10" t="s">
        <v>64</v>
      </c>
    </row>
    <row r="8" spans="2:11" ht="15" customHeight="1" x14ac:dyDescent="0.25">
      <c r="B8" s="19" t="s">
        <v>65</v>
      </c>
      <c r="C8" s="13">
        <f>J8*Notas!$B$27</f>
        <v>21589.711153278513</v>
      </c>
      <c r="D8" s="10">
        <v>1</v>
      </c>
      <c r="E8" s="13">
        <f t="shared" si="0"/>
        <v>21589.711153278513</v>
      </c>
      <c r="F8" s="13">
        <f t="shared" si="1"/>
        <v>211579.16930212945</v>
      </c>
      <c r="G8" s="23">
        <v>9.8000000000000007</v>
      </c>
      <c r="H8" s="23">
        <f t="shared" si="2"/>
        <v>9.8000000000000007</v>
      </c>
      <c r="I8" s="10" t="s">
        <v>66</v>
      </c>
      <c r="J8" s="13">
        <v>20000</v>
      </c>
      <c r="K8" s="10" t="s">
        <v>67</v>
      </c>
    </row>
    <row r="9" spans="2:11" ht="15" customHeight="1" x14ac:dyDescent="0.25">
      <c r="B9" s="19" t="s">
        <v>68</v>
      </c>
      <c r="C9" s="13">
        <f>J9*Notas!$B$27</f>
        <v>16192.283364958887</v>
      </c>
      <c r="D9" s="10">
        <v>1</v>
      </c>
      <c r="E9" s="13">
        <f t="shared" si="0"/>
        <v>16192.283364958887</v>
      </c>
      <c r="F9" s="13">
        <f t="shared" si="1"/>
        <v>89057.558507273876</v>
      </c>
      <c r="G9" s="23">
        <v>5.5</v>
      </c>
      <c r="H9" s="23">
        <f t="shared" si="2"/>
        <v>5.5</v>
      </c>
      <c r="I9" s="10" t="s">
        <v>69</v>
      </c>
      <c r="J9" s="13">
        <v>15000</v>
      </c>
      <c r="K9" s="10" t="s">
        <v>70</v>
      </c>
    </row>
    <row r="10" spans="2:11" ht="15" customHeight="1" x14ac:dyDescent="0.25">
      <c r="B10" s="19"/>
      <c r="C10" s="13"/>
      <c r="D10" s="10"/>
      <c r="E10" s="13"/>
      <c r="F10" s="13"/>
      <c r="G10" s="23"/>
      <c r="H10" s="23"/>
    </row>
    <row r="11" spans="2:11" ht="15" customHeight="1" x14ac:dyDescent="0.25">
      <c r="B11" s="19"/>
      <c r="C11" s="13"/>
      <c r="D11" s="10"/>
      <c r="E11" s="13"/>
      <c r="F11" s="13"/>
      <c r="G11" s="23"/>
      <c r="H11" s="23"/>
    </row>
    <row r="12" spans="2:11" ht="15" customHeight="1" x14ac:dyDescent="0.25">
      <c r="B12" s="19"/>
      <c r="C12" s="13"/>
      <c r="D12" s="10"/>
      <c r="E12" s="13"/>
      <c r="F12" s="13"/>
      <c r="G12" s="23"/>
      <c r="H12" s="23"/>
    </row>
    <row r="13" spans="2:11" ht="15" customHeight="1" x14ac:dyDescent="0.25">
      <c r="B13" s="19"/>
      <c r="C13" s="13"/>
      <c r="D13" s="10"/>
      <c r="E13" s="13"/>
      <c r="F13" s="13"/>
      <c r="G13" s="23"/>
      <c r="H13" s="23"/>
    </row>
    <row r="14" spans="2:11" ht="15" customHeight="1" x14ac:dyDescent="0.25">
      <c r="B14" s="10"/>
      <c r="C14" s="13"/>
      <c r="D14" s="10"/>
      <c r="E14" s="10"/>
      <c r="F14" s="10"/>
      <c r="G14" s="24"/>
    </row>
    <row r="15" spans="2:11" ht="15" customHeight="1" x14ac:dyDescent="0.25">
      <c r="B15" s="10"/>
      <c r="C15" s="13"/>
      <c r="D15" s="10"/>
      <c r="E15" s="10"/>
      <c r="F15" s="10"/>
      <c r="G15" s="24"/>
    </row>
    <row r="16" spans="2:11" ht="15" customHeight="1" x14ac:dyDescent="0.25">
      <c r="B16" s="10"/>
      <c r="C16" s="13"/>
      <c r="D16" s="10"/>
      <c r="E16" s="10"/>
      <c r="F16" s="10"/>
      <c r="G16" s="24"/>
    </row>
    <row r="17" spans="2:8" ht="15" customHeight="1" x14ac:dyDescent="0.25">
      <c r="B17" s="10"/>
      <c r="C17" s="13"/>
      <c r="D17" s="10"/>
      <c r="E17" s="10"/>
      <c r="F17" s="10"/>
      <c r="G17" s="24"/>
    </row>
    <row r="18" spans="2:8" ht="15" customHeight="1" x14ac:dyDescent="0.25">
      <c r="B18" s="10" t="s">
        <v>41</v>
      </c>
      <c r="C18" s="13"/>
      <c r="D18" s="25">
        <f>SUM(D4:D17)</f>
        <v>7</v>
      </c>
      <c r="E18" s="13">
        <f>SUM(E4:E17)</f>
        <v>224532.99599409653</v>
      </c>
      <c r="F18" s="13">
        <f>SUM(F4:F17)</f>
        <v>1535999.9999999998</v>
      </c>
      <c r="G18" s="13"/>
      <c r="H18" s="26">
        <f>SUM(H4:H17)</f>
        <v>48</v>
      </c>
    </row>
    <row r="20" spans="2:8" ht="15" customHeight="1" x14ac:dyDescent="0.25">
      <c r="B20" s="14" t="s">
        <v>71</v>
      </c>
    </row>
    <row r="21" spans="2:8" ht="15" customHeight="1" x14ac:dyDescent="0.25">
      <c r="B21" t="s">
        <v>72</v>
      </c>
    </row>
    <row r="22" spans="2:8" ht="15" customHeight="1" x14ac:dyDescent="0.25">
      <c r="B22" t="str">
        <f>IF(ROUND(F18/H18-Notas!B7*Notas!B8,2)=0,"Promedio por persona-mes = 32,000 MXN (200 MXN/h)","Revisar")</f>
        <v>Promedio por persona-mes = 32,000 MXN (200 MXN/h)</v>
      </c>
    </row>
  </sheetData>
  <mergeCells count="1">
    <mergeCell ref="B2:G2"/>
  </mergeCells>
  <pageMargins left="0.7" right="0.7" top="0.75" bottom="0.75" header="0.511811023622047" footer="0.511811023622047"/>
  <pageSetup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4" customWidth="1"/>
    <col min="2" max="2" width="14" customWidth="1"/>
    <col min="3" max="3" width="38" customWidth="1"/>
    <col min="4" max="4" width="11" customWidth="1"/>
    <col min="5" max="5" width="15" customWidth="1"/>
    <col min="6" max="6" width="16" customWidth="1"/>
    <col min="7" max="7" width="15" customWidth="1"/>
    <col min="8" max="9" width="16" customWidth="1"/>
    <col min="10" max="10" width="17" customWidth="1"/>
    <col min="11" max="11" width="12" customWidth="1"/>
    <col min="12" max="12" width="18" customWidth="1"/>
    <col min="13" max="13" width="14" customWidth="1"/>
    <col min="14" max="14" width="10" customWidth="1"/>
  </cols>
  <sheetData>
    <row r="1" spans="1:14" ht="15" customHeight="1" x14ac:dyDescent="0.25">
      <c r="A1" s="27" t="s">
        <v>73</v>
      </c>
    </row>
    <row r="2" spans="1:14" ht="15" customHeight="1" x14ac:dyDescent="0.25">
      <c r="A2" t="s">
        <v>74</v>
      </c>
    </row>
    <row r="4" spans="1:14" ht="41.25" customHeight="1" x14ac:dyDescent="0.25">
      <c r="A4" s="28" t="s">
        <v>75</v>
      </c>
      <c r="B4" s="28" t="s">
        <v>76</v>
      </c>
      <c r="C4" s="28" t="s">
        <v>43</v>
      </c>
      <c r="D4" s="28" t="s">
        <v>77</v>
      </c>
      <c r="E4" s="28" t="s">
        <v>78</v>
      </c>
      <c r="F4" s="28" t="s">
        <v>79</v>
      </c>
      <c r="G4" s="28" t="s">
        <v>80</v>
      </c>
      <c r="H4" s="28" t="s">
        <v>81</v>
      </c>
      <c r="I4" s="28" t="s">
        <v>82</v>
      </c>
      <c r="J4" s="28" t="s">
        <v>83</v>
      </c>
      <c r="K4" s="28" t="s">
        <v>84</v>
      </c>
      <c r="L4" s="28" t="s">
        <v>85</v>
      </c>
      <c r="M4" s="28" t="s">
        <v>86</v>
      </c>
      <c r="N4" s="28" t="s">
        <v>87</v>
      </c>
    </row>
    <row r="5" spans="1:14" ht="15" customHeight="1" x14ac:dyDescent="0.25">
      <c r="A5" s="10">
        <v>1</v>
      </c>
      <c r="B5" s="10" t="s">
        <v>88</v>
      </c>
      <c r="C5" s="10" t="str">
        <f>Sueldos!B4</f>
        <v>Director de proyecto</v>
      </c>
      <c r="D5" s="29">
        <f>Sueldos!G4</f>
        <v>5.3</v>
      </c>
      <c r="E5" s="13">
        <f>Sueldos!C4</f>
        <v>35623.023402909552</v>
      </c>
      <c r="F5" s="13">
        <f t="shared" ref="F5:F11" si="0">D5*E5</f>
        <v>188802.02403542062</v>
      </c>
      <c r="G5" s="13">
        <f>'Costos Indirectos'!$E$19*Notas!$B$4</f>
        <v>72678.57142857142</v>
      </c>
      <c r="H5" s="13">
        <f>'Hw&amp;SW'!$D$8</f>
        <v>18500</v>
      </c>
      <c r="I5" s="10" t="s">
        <v>89</v>
      </c>
      <c r="J5" s="13">
        <f>'Hw&amp;SW'!$D$12</f>
        <v>18000</v>
      </c>
      <c r="K5" s="13">
        <f>'Hw&amp;SW'!$D$13</f>
        <v>980</v>
      </c>
      <c r="L5" s="13">
        <f t="shared" ref="L5:L11" si="1">F5+G5+H5+J5+K5</f>
        <v>298960.59546399204</v>
      </c>
      <c r="M5" s="30">
        <f>L5/Notas!$B$3</f>
        <v>16160.032187242812</v>
      </c>
      <c r="N5" s="31">
        <f t="shared" ref="N5:N11" si="2">L5/$L$12</f>
        <v>0.12775493265871776</v>
      </c>
    </row>
    <row r="6" spans="1:14" ht="15" customHeight="1" x14ac:dyDescent="0.25">
      <c r="A6" s="10">
        <v>2</v>
      </c>
      <c r="B6" s="10" t="s">
        <v>90</v>
      </c>
      <c r="C6" s="10" t="str">
        <f>Sueldos!B5</f>
        <v>Analista de requisitos</v>
      </c>
      <c r="D6" s="29">
        <f>Sueldos!G5</f>
        <v>5.4</v>
      </c>
      <c r="E6" s="13">
        <f>Sueldos!C5</f>
        <v>26987.138941598143</v>
      </c>
      <c r="F6" s="13">
        <f t="shared" si="0"/>
        <v>145730.55028462998</v>
      </c>
      <c r="G6" s="13">
        <f>'Costos Indirectos'!$E$19*Notas!$B$4</f>
        <v>72678.57142857142</v>
      </c>
      <c r="H6" s="13">
        <f>'Hw&amp;SW'!$D$8</f>
        <v>18500</v>
      </c>
      <c r="I6" s="10" t="s">
        <v>89</v>
      </c>
      <c r="J6" s="13">
        <f>'Hw&amp;SW'!$D$12</f>
        <v>18000</v>
      </c>
      <c r="K6" s="13">
        <f>'Hw&amp;SW'!$D$13</f>
        <v>980</v>
      </c>
      <c r="L6" s="13">
        <f t="shared" si="1"/>
        <v>255889.1217132014</v>
      </c>
      <c r="M6" s="30">
        <f>L6/Notas!$B$3</f>
        <v>13831.844416929805</v>
      </c>
      <c r="N6" s="31">
        <f t="shared" si="2"/>
        <v>0.10934918517215063</v>
      </c>
    </row>
    <row r="7" spans="1:14" ht="15" customHeight="1" x14ac:dyDescent="0.25">
      <c r="A7" s="10">
        <v>3</v>
      </c>
      <c r="B7" s="10" t="s">
        <v>91</v>
      </c>
      <c r="C7" s="10" t="str">
        <f>Sueldos!B6</f>
        <v>Arquitecto y diseñador de software</v>
      </c>
      <c r="D7" s="29">
        <f>Sueldos!G6</f>
        <v>9.1</v>
      </c>
      <c r="E7" s="13">
        <f>Sueldos!C6</f>
        <v>37781.994518237399</v>
      </c>
      <c r="F7" s="13">
        <f t="shared" si="0"/>
        <v>343816.15011596034</v>
      </c>
      <c r="G7" s="13">
        <f>'Costos Indirectos'!$E$19*Notas!$B$4</f>
        <v>72678.57142857142</v>
      </c>
      <c r="H7" s="13">
        <f>'Hw&amp;SW'!$D$8</f>
        <v>18500</v>
      </c>
      <c r="I7" s="10" t="s">
        <v>92</v>
      </c>
      <c r="J7" s="13">
        <f>'Hw&amp;SW'!$D$11</f>
        <v>22000</v>
      </c>
      <c r="K7" s="13">
        <f>'Hw&amp;SW'!$D$13</f>
        <v>980</v>
      </c>
      <c r="L7" s="13">
        <f t="shared" si="1"/>
        <v>457974.72154453176</v>
      </c>
      <c r="M7" s="30">
        <f>L7/Notas!$B$3</f>
        <v>24755.390353758474</v>
      </c>
      <c r="N7" s="31">
        <f t="shared" si="2"/>
        <v>0.19570649308986832</v>
      </c>
    </row>
    <row r="8" spans="1:14" ht="15" customHeight="1" x14ac:dyDescent="0.25">
      <c r="A8" s="10">
        <v>4</v>
      </c>
      <c r="B8" s="10" t="s">
        <v>93</v>
      </c>
      <c r="C8" s="10" t="str">
        <f>Sueldos!B7</f>
        <v>Desarrollador .NET (web, API y móvil)</v>
      </c>
      <c r="D8" s="29">
        <f>Sueldos!G7</f>
        <v>6.45</v>
      </c>
      <c r="E8" s="13">
        <f>Sueldos!C7</f>
        <v>43179.422306557026</v>
      </c>
      <c r="F8" s="13">
        <f t="shared" si="0"/>
        <v>278507.27387729281</v>
      </c>
      <c r="G8" s="13">
        <f>'Costos Indirectos'!$E$19*Notas!$B$4</f>
        <v>72678.57142857142</v>
      </c>
      <c r="H8" s="13">
        <f>'Hw&amp;SW'!$D$8</f>
        <v>18500</v>
      </c>
      <c r="I8" s="10" t="s">
        <v>92</v>
      </c>
      <c r="J8" s="13">
        <f>'Hw&amp;SW'!$D$11</f>
        <v>22000</v>
      </c>
      <c r="K8" s="13">
        <f>'Hw&amp;SW'!$D$13</f>
        <v>980</v>
      </c>
      <c r="L8" s="13">
        <f t="shared" si="1"/>
        <v>392665.84530586423</v>
      </c>
      <c r="M8" s="30">
        <f>L8/Notas!$B$3</f>
        <v>21225.180827344011</v>
      </c>
      <c r="N8" s="31">
        <f t="shared" si="2"/>
        <v>0.16779802885585046</v>
      </c>
    </row>
    <row r="9" spans="1:14" ht="15" customHeight="1" x14ac:dyDescent="0.25">
      <c r="A9" s="10">
        <v>5</v>
      </c>
      <c r="B9" s="10" t="s">
        <v>94</v>
      </c>
      <c r="C9" s="10" t="str">
        <f>Sueldos!B7</f>
        <v>Desarrollador .NET (web, API y móvil)</v>
      </c>
      <c r="D9" s="29">
        <f>Sueldos!G7</f>
        <v>6.45</v>
      </c>
      <c r="E9" s="13">
        <f>Sueldos!C7</f>
        <v>43179.422306557026</v>
      </c>
      <c r="F9" s="13">
        <f t="shared" si="0"/>
        <v>278507.27387729281</v>
      </c>
      <c r="G9" s="13">
        <f>'Costos Indirectos'!$E$19*Notas!$B$4</f>
        <v>72678.57142857142</v>
      </c>
      <c r="H9" s="13">
        <f>'Hw&amp;SW'!$D$8</f>
        <v>18500</v>
      </c>
      <c r="I9" s="10" t="s">
        <v>95</v>
      </c>
      <c r="J9" s="13">
        <f>'Hw&amp;SW'!$D$10</f>
        <v>39000</v>
      </c>
      <c r="K9" s="13">
        <f>'Hw&amp;SW'!$D$13</f>
        <v>980</v>
      </c>
      <c r="L9" s="13">
        <f t="shared" si="1"/>
        <v>409665.84530586423</v>
      </c>
      <c r="M9" s="30">
        <f>L9/Notas!$B$3</f>
        <v>22144.099746262931</v>
      </c>
      <c r="N9" s="31">
        <f t="shared" si="2"/>
        <v>0.17506264462177601</v>
      </c>
    </row>
    <row r="10" spans="1:14" ht="15" customHeight="1" x14ac:dyDescent="0.25">
      <c r="A10" s="10">
        <v>6</v>
      </c>
      <c r="B10" s="10" t="s">
        <v>96</v>
      </c>
      <c r="C10" s="10" t="str">
        <f>Sueldos!B8</f>
        <v>Ingeniero de pruebas (QA)</v>
      </c>
      <c r="D10" s="29">
        <f>Sueldos!G8</f>
        <v>9.8000000000000007</v>
      </c>
      <c r="E10" s="13">
        <f>Sueldos!C8</f>
        <v>21589.711153278513</v>
      </c>
      <c r="F10" s="13">
        <f t="shared" si="0"/>
        <v>211579.16930212945</v>
      </c>
      <c r="G10" s="13">
        <f>'Costos Indirectos'!$E$19*Notas!$B$4</f>
        <v>72678.57142857142</v>
      </c>
      <c r="H10" s="13">
        <f>'Hw&amp;SW'!$D$8</f>
        <v>18500</v>
      </c>
      <c r="I10" s="10" t="s">
        <v>89</v>
      </c>
      <c r="J10" s="13">
        <f>'Hw&amp;SW'!$D$12</f>
        <v>18000</v>
      </c>
      <c r="K10" s="13">
        <f>'Hw&amp;SW'!$D$13</f>
        <v>980</v>
      </c>
      <c r="L10" s="13">
        <f t="shared" si="1"/>
        <v>321737.7407307009</v>
      </c>
      <c r="M10" s="30">
        <f>L10/Notas!$B$3</f>
        <v>17391.229228686534</v>
      </c>
      <c r="N10" s="31">
        <f t="shared" si="2"/>
        <v>0.13748829787091243</v>
      </c>
    </row>
    <row r="11" spans="1:14" ht="15" customHeight="1" x14ac:dyDescent="0.25">
      <c r="A11" s="10">
        <v>7</v>
      </c>
      <c r="B11" s="10" t="s">
        <v>97</v>
      </c>
      <c r="C11" s="10" t="str">
        <f>Sueldos!B9</f>
        <v>Ingeniero DevOps (ambiente, configuración y despliegue)</v>
      </c>
      <c r="D11" s="29">
        <f>Sueldos!G9</f>
        <v>5.5</v>
      </c>
      <c r="E11" s="13">
        <f>Sueldos!C9</f>
        <v>16192.283364958887</v>
      </c>
      <c r="F11" s="13">
        <f t="shared" si="0"/>
        <v>89057.558507273876</v>
      </c>
      <c r="G11" s="13">
        <f>'Costos Indirectos'!$E$19*Notas!$B$4</f>
        <v>72678.57142857142</v>
      </c>
      <c r="H11" s="13">
        <f>'Hw&amp;SW'!$D$8</f>
        <v>18500</v>
      </c>
      <c r="I11" s="10" t="s">
        <v>92</v>
      </c>
      <c r="J11" s="13">
        <f>'Hw&amp;SW'!$D$11</f>
        <v>22000</v>
      </c>
      <c r="K11" s="13">
        <f>'Hw&amp;SW'!$D$13</f>
        <v>980</v>
      </c>
      <c r="L11" s="13">
        <f t="shared" si="1"/>
        <v>203216.1299358453</v>
      </c>
      <c r="M11" s="30">
        <f>L11/Notas!$B$3</f>
        <v>10984.655672207853</v>
      </c>
      <c r="N11" s="31">
        <f t="shared" si="2"/>
        <v>8.6840417730724317E-2</v>
      </c>
    </row>
    <row r="12" spans="1:14" ht="15" customHeight="1" x14ac:dyDescent="0.25">
      <c r="A12" s="32"/>
      <c r="B12" s="32" t="s">
        <v>13</v>
      </c>
      <c r="C12" s="32"/>
      <c r="D12" s="33">
        <f>SUM(D5:D11)</f>
        <v>48</v>
      </c>
      <c r="E12" s="34"/>
      <c r="F12" s="34">
        <f>SUM(F5:F11)</f>
        <v>1536000</v>
      </c>
      <c r="G12" s="34">
        <f>SUM(G5:G11)</f>
        <v>508749.99999999994</v>
      </c>
      <c r="H12" s="34">
        <f>SUM(H5:H11)</f>
        <v>129500</v>
      </c>
      <c r="I12" s="32"/>
      <c r="J12" s="34">
        <f>SUM(J5:J11)</f>
        <v>159000</v>
      </c>
      <c r="K12" s="34">
        <f>SUM(K5:K11)</f>
        <v>6860</v>
      </c>
      <c r="L12" s="34">
        <f>SUM(L5:L11)</f>
        <v>2340110</v>
      </c>
      <c r="M12" s="35">
        <f>SUM(M5:M11)</f>
        <v>126492.43243243243</v>
      </c>
      <c r="N12" s="36">
        <f>SUM(N5:N11)</f>
        <v>1</v>
      </c>
    </row>
    <row r="14" spans="1:14" ht="15" customHeight="1" x14ac:dyDescent="0.25">
      <c r="B14" s="37" t="s">
        <v>98</v>
      </c>
    </row>
    <row r="15" spans="1:14" ht="15" customHeight="1" x14ac:dyDescent="0.25">
      <c r="B15" t="s">
        <v>99</v>
      </c>
      <c r="C15" t="str">
        <f>IF(ROUND(F12-Sueldos!F18,2)=0,"Cuadra","Revisar")</f>
        <v>Cuadra</v>
      </c>
    </row>
    <row r="16" spans="1:14" ht="15" customHeight="1" x14ac:dyDescent="0.25">
      <c r="B16" t="s">
        <v>100</v>
      </c>
      <c r="C16" t="str">
        <f>IF(ROUND(G12-TotalProyecto!C4,2)=0,"Cuadra","Revisar")</f>
        <v>Cuadra</v>
      </c>
    </row>
    <row r="17" spans="2:3" ht="15" customHeight="1" x14ac:dyDescent="0.25">
      <c r="B17" t="s">
        <v>101</v>
      </c>
      <c r="C17" t="str">
        <f>IF(ROUND(H12-'Hw&amp;SW'!E8,2)=0,"Cuadra","Revisar")</f>
        <v>Cuadra</v>
      </c>
    </row>
    <row r="18" spans="2:3" ht="15" customHeight="1" x14ac:dyDescent="0.25">
      <c r="B18" t="s">
        <v>102</v>
      </c>
      <c r="C18" t="str">
        <f>IF(ROUND(J12-SUM('Hw&amp;SW'!E10:E12),2)=0,"Cuadra","Revisar")</f>
        <v>Cuadra</v>
      </c>
    </row>
    <row r="19" spans="2:3" ht="15" customHeight="1" x14ac:dyDescent="0.25">
      <c r="B19" t="s">
        <v>103</v>
      </c>
      <c r="C19" t="str">
        <f>IF(ROUND(K12-'Hw&amp;SW'!E13,2)=0,"Cuadra","Revisar")</f>
        <v>Cuadra</v>
      </c>
    </row>
    <row r="20" spans="2:3" ht="15" customHeight="1" x14ac:dyDescent="0.25">
      <c r="B20" t="s">
        <v>104</v>
      </c>
      <c r="C20" t="str">
        <f>IF(ROUND(D12-Sueldos!H18,2)=0,"Cuadra","Revisar")</f>
        <v>Cuadra</v>
      </c>
    </row>
    <row r="22" spans="2:3" ht="15" customHeight="1" x14ac:dyDescent="0.25">
      <c r="B22" s="37" t="s">
        <v>105</v>
      </c>
    </row>
    <row r="23" spans="2:3" ht="15" customHeight="1" x14ac:dyDescent="0.25">
      <c r="B23" t="s">
        <v>106</v>
      </c>
    </row>
    <row r="24" spans="2:3" ht="15" customHeight="1" x14ac:dyDescent="0.25">
      <c r="B24" t="s">
        <v>107</v>
      </c>
    </row>
    <row r="25" spans="2:3" ht="15" customHeight="1" x14ac:dyDescent="0.25">
      <c r="B25" t="s">
        <v>108</v>
      </c>
    </row>
    <row r="26" spans="2:3" ht="15" customHeight="1" x14ac:dyDescent="0.25">
      <c r="B26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F12"/>
  <sheetViews>
    <sheetView zoomScaleNormal="100" workbookViewId="0">
      <selection activeCell="F23" sqref="F23"/>
    </sheetView>
  </sheetViews>
  <sheetFormatPr baseColWidth="10" defaultColWidth="10.7109375" defaultRowHeight="15" x14ac:dyDescent="0.25"/>
  <cols>
    <col min="2" max="2" width="46" customWidth="1"/>
    <col min="3" max="3" width="10" customWidth="1"/>
    <col min="4" max="4" width="13.5703125" style="7" bestFit="1" customWidth="1"/>
    <col min="5" max="5" width="13" style="7" bestFit="1" customWidth="1"/>
    <col min="6" max="6" width="19" customWidth="1"/>
  </cols>
  <sheetData>
    <row r="2" spans="2:6" ht="15" customHeight="1" x14ac:dyDescent="0.25">
      <c r="B2" s="5" t="s">
        <v>110</v>
      </c>
      <c r="C2" s="5"/>
      <c r="D2" s="5"/>
      <c r="E2" s="5"/>
    </row>
    <row r="3" spans="2:6" ht="15" customHeight="1" x14ac:dyDescent="0.25">
      <c r="B3" s="18" t="s">
        <v>1</v>
      </c>
      <c r="C3" s="18" t="s">
        <v>111</v>
      </c>
      <c r="D3" s="38" t="s">
        <v>112</v>
      </c>
      <c r="E3" s="38" t="s">
        <v>113</v>
      </c>
      <c r="F3" s="38" t="s">
        <v>114</v>
      </c>
    </row>
    <row r="4" spans="2:6" ht="15" customHeight="1" x14ac:dyDescent="0.25">
      <c r="B4" s="19" t="s">
        <v>115</v>
      </c>
      <c r="C4" s="10">
        <v>1</v>
      </c>
      <c r="D4" s="13">
        <f>+F4*Notas!$B$3</f>
        <v>370000</v>
      </c>
      <c r="E4" s="13">
        <f>+D4*C4</f>
        <v>370000</v>
      </c>
      <c r="F4" s="13">
        <v>20000</v>
      </c>
    </row>
    <row r="5" spans="2:6" ht="15" customHeight="1" x14ac:dyDescent="0.25">
      <c r="B5" s="19" t="s">
        <v>116</v>
      </c>
      <c r="C5" s="10">
        <v>1</v>
      </c>
      <c r="D5" s="13">
        <f>+F5*Notas!$B$3</f>
        <v>185000</v>
      </c>
      <c r="E5" s="13">
        <f>+D5*C5</f>
        <v>185000</v>
      </c>
      <c r="F5" s="13">
        <v>10000</v>
      </c>
    </row>
    <row r="6" spans="2:6" ht="15" customHeight="1" x14ac:dyDescent="0.25">
      <c r="B6" s="10"/>
      <c r="C6" s="10"/>
      <c r="D6" s="13"/>
      <c r="E6" s="13"/>
    </row>
    <row r="7" spans="2:6" ht="15" customHeight="1" x14ac:dyDescent="0.25">
      <c r="B7" s="10"/>
      <c r="C7" s="10"/>
      <c r="D7" s="13"/>
      <c r="E7" s="13"/>
    </row>
    <row r="8" spans="2:6" ht="15" customHeight="1" x14ac:dyDescent="0.25">
      <c r="B8" s="10"/>
      <c r="C8" s="10"/>
      <c r="D8" s="13"/>
      <c r="E8" s="13"/>
    </row>
    <row r="9" spans="2:6" ht="15" customHeight="1" x14ac:dyDescent="0.25">
      <c r="B9" s="10"/>
      <c r="C9" s="10"/>
      <c r="D9" s="13"/>
      <c r="E9" s="13"/>
    </row>
    <row r="10" spans="2:6" ht="15" customHeight="1" x14ac:dyDescent="0.25">
      <c r="B10" s="10" t="s">
        <v>41</v>
      </c>
      <c r="C10" s="10"/>
      <c r="D10" s="13"/>
      <c r="E10" s="13">
        <f>SUM(E4:E9)</f>
        <v>555000</v>
      </c>
      <c r="F10" s="13">
        <f>+E10/Notas!$B$3</f>
        <v>30000</v>
      </c>
    </row>
    <row r="12" spans="2:6" ht="23.25" customHeight="1" x14ac:dyDescent="0.25">
      <c r="B12" s="3" t="s">
        <v>117</v>
      </c>
      <c r="C12" s="3"/>
      <c r="D12" s="3"/>
      <c r="E12" s="3"/>
      <c r="F12" s="3"/>
    </row>
  </sheetData>
  <mergeCells count="2">
    <mergeCell ref="B2:E2"/>
    <mergeCell ref="B12:F12"/>
  </mergeCells>
  <pageMargins left="0.7" right="0.7" top="0.75" bottom="0.7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E18"/>
  <sheetViews>
    <sheetView zoomScaleNormal="100" workbookViewId="0">
      <selection activeCell="C8" sqref="C8"/>
    </sheetView>
  </sheetViews>
  <sheetFormatPr baseColWidth="10" defaultColWidth="10.7109375" defaultRowHeight="15" x14ac:dyDescent="0.25"/>
  <cols>
    <col min="2" max="2" width="38" customWidth="1"/>
    <col min="3" max="3" width="21" style="7" customWidth="1"/>
    <col min="4" max="4" width="18" customWidth="1"/>
    <col min="5" max="5" width="62" customWidth="1"/>
  </cols>
  <sheetData>
    <row r="2" spans="2:5" ht="15" customHeight="1" x14ac:dyDescent="0.25">
      <c r="B2" s="2" t="s">
        <v>118</v>
      </c>
      <c r="C2" s="2"/>
    </row>
    <row r="3" spans="2:5" ht="15" customHeight="1" x14ac:dyDescent="0.25">
      <c r="B3" s="18" t="s">
        <v>119</v>
      </c>
      <c r="C3" s="38" t="s">
        <v>112</v>
      </c>
      <c r="D3" s="38" t="s">
        <v>114</v>
      </c>
      <c r="E3" s="38" t="s">
        <v>120</v>
      </c>
    </row>
    <row r="4" spans="2:5" ht="15" customHeight="1" x14ac:dyDescent="0.25">
      <c r="B4" s="10" t="s">
        <v>121</v>
      </c>
      <c r="C4" s="13">
        <f>+'Costos Indirectos'!E19*'Hw&amp;SW'!J3*'Hw&amp;SW'!J2</f>
        <v>508749.99999999994</v>
      </c>
      <c r="D4" s="13">
        <f>+C4/Notas!$B$3</f>
        <v>27499.999999999996</v>
      </c>
      <c r="E4" s="19" t="s">
        <v>122</v>
      </c>
    </row>
    <row r="5" spans="2:5" ht="15" customHeight="1" x14ac:dyDescent="0.25">
      <c r="B5" s="10" t="s">
        <v>14</v>
      </c>
      <c r="C5" s="13">
        <f>+'Hw&amp;SW'!E16</f>
        <v>14969560</v>
      </c>
      <c r="D5" s="13">
        <f>+C5/Notas!$B$3</f>
        <v>809165.40540540544</v>
      </c>
      <c r="E5" s="19" t="s">
        <v>123</v>
      </c>
    </row>
    <row r="6" spans="2:5" ht="15" customHeight="1" x14ac:dyDescent="0.25">
      <c r="B6" s="10" t="s">
        <v>42</v>
      </c>
      <c r="C6" s="13">
        <f>+Sueldos!F18</f>
        <v>1535999.9999999998</v>
      </c>
      <c r="D6" s="13">
        <f>+C6/Notas!$B$3</f>
        <v>83027.027027027012</v>
      </c>
      <c r="E6" s="19" t="s">
        <v>124</v>
      </c>
    </row>
    <row r="7" spans="2:5" ht="15" customHeight="1" x14ac:dyDescent="0.25">
      <c r="B7" s="10" t="s">
        <v>125</v>
      </c>
      <c r="C7" s="13">
        <f>+Otros!E10</f>
        <v>555000</v>
      </c>
      <c r="D7" s="13">
        <f>+C7/Notas!$B$3</f>
        <v>30000</v>
      </c>
      <c r="E7" s="19" t="s">
        <v>126</v>
      </c>
    </row>
    <row r="8" spans="2:5" ht="15" customHeight="1" x14ac:dyDescent="0.25">
      <c r="B8" s="25" t="s">
        <v>127</v>
      </c>
      <c r="C8" s="39">
        <f>SUM(C4:C7)</f>
        <v>17569310</v>
      </c>
      <c r="D8" s="39">
        <f>+C8/Notas!$B$3</f>
        <v>949692.43243243243</v>
      </c>
      <c r="E8" s="19" t="s">
        <v>128</v>
      </c>
    </row>
    <row r="9" spans="2:5" ht="15" customHeight="1" x14ac:dyDescent="0.25">
      <c r="B9" s="10" t="s">
        <v>129</v>
      </c>
      <c r="C9" s="13">
        <f>+C8*0.1</f>
        <v>1756931</v>
      </c>
      <c r="D9" s="13">
        <f>+C9/Notas!$B$3</f>
        <v>94969.24324324324</v>
      </c>
      <c r="E9" s="19" t="s">
        <v>130</v>
      </c>
    </row>
    <row r="10" spans="2:5" ht="15" customHeight="1" x14ac:dyDescent="0.25">
      <c r="B10" s="25" t="s">
        <v>131</v>
      </c>
      <c r="C10" s="39">
        <f>+C8+C9</f>
        <v>19326241</v>
      </c>
      <c r="D10" s="39">
        <f>+C10/Notas!$B$3</f>
        <v>1044661.6756756756</v>
      </c>
      <c r="E10" s="19" t="s">
        <v>132</v>
      </c>
    </row>
    <row r="11" spans="2:5" ht="27.75" customHeight="1" x14ac:dyDescent="0.25">
      <c r="B11" s="10" t="s">
        <v>133</v>
      </c>
      <c r="C11" s="13">
        <f>+C12-C10</f>
        <v>17673759</v>
      </c>
      <c r="D11" s="13">
        <f>+C11/Notas!$B$3</f>
        <v>955338.32432432438</v>
      </c>
      <c r="E11" s="19" t="s">
        <v>134</v>
      </c>
    </row>
    <row r="12" spans="2:5" ht="15" customHeight="1" x14ac:dyDescent="0.25">
      <c r="B12" s="25" t="s">
        <v>135</v>
      </c>
      <c r="C12" s="39">
        <f>2000000*Notas!$B$3</f>
        <v>37000000</v>
      </c>
      <c r="D12" s="39">
        <f>+C12/Notas!$B$3</f>
        <v>2000000</v>
      </c>
      <c r="E12" s="19" t="s">
        <v>136</v>
      </c>
    </row>
    <row r="13" spans="2:5" ht="15" customHeight="1" x14ac:dyDescent="0.25">
      <c r="B13" s="10" t="s">
        <v>137</v>
      </c>
      <c r="C13" s="40" t="str">
        <f>IF(C10&lt;=C12,"Dentro del presupuesto","Excede el presupuesto")</f>
        <v>Dentro del presupuesto</v>
      </c>
      <c r="D13" s="10" t="str">
        <f>IF(C10&lt;=C12,"Margen: "&amp;TEXT((C12-C10)/Notas!$B$3,"$#,##0")&amp;" USD","")</f>
        <v>Margen: $955,338 USD</v>
      </c>
      <c r="E13" s="19" t="s">
        <v>138</v>
      </c>
    </row>
    <row r="15" spans="2:5" ht="43.5" customHeight="1" x14ac:dyDescent="0.25">
      <c r="B15" s="3" t="s">
        <v>139</v>
      </c>
      <c r="C15" s="3"/>
      <c r="D15" s="3"/>
      <c r="E15" s="3"/>
    </row>
    <row r="17" spans="2:4" ht="15" customHeight="1" x14ac:dyDescent="0.25">
      <c r="B17" t="s">
        <v>140</v>
      </c>
      <c r="C17" s="23">
        <f>Sueldos!H18</f>
        <v>48</v>
      </c>
      <c r="D17" s="13"/>
    </row>
    <row r="18" spans="2:4" ht="15" customHeight="1" x14ac:dyDescent="0.25">
      <c r="B18" t="s">
        <v>141</v>
      </c>
      <c r="C18" s="23">
        <f>Notas!B4</f>
        <v>15</v>
      </c>
    </row>
  </sheetData>
  <mergeCells count="2">
    <mergeCell ref="B2:C2"/>
    <mergeCell ref="B15:E15"/>
  </mergeCells>
  <pageMargins left="0.7" right="0.7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27"/>
  <sheetViews>
    <sheetView topLeftCell="A14" zoomScaleNormal="100" workbookViewId="0"/>
  </sheetViews>
  <sheetFormatPr baseColWidth="10" defaultColWidth="8.7109375" defaultRowHeight="15" x14ac:dyDescent="0.25"/>
  <cols>
    <col min="1" max="1" width="46" customWidth="1"/>
    <col min="2" max="2" width="18" customWidth="1"/>
    <col min="3" max="3" width="86" customWidth="1"/>
  </cols>
  <sheetData>
    <row r="1" spans="1:3" ht="15.75" customHeight="1" x14ac:dyDescent="0.3">
      <c r="A1" s="41" t="s">
        <v>142</v>
      </c>
    </row>
    <row r="2" spans="1:3" ht="15" customHeight="1" x14ac:dyDescent="0.25">
      <c r="A2" s="42" t="s">
        <v>143</v>
      </c>
    </row>
    <row r="3" spans="1:3" ht="15" customHeight="1" x14ac:dyDescent="0.25">
      <c r="A3" t="s">
        <v>144</v>
      </c>
      <c r="B3" s="43">
        <v>18.5</v>
      </c>
      <c r="C3" s="44" t="s">
        <v>145</v>
      </c>
    </row>
    <row r="4" spans="1:3" ht="15" customHeight="1" x14ac:dyDescent="0.25">
      <c r="A4" t="s">
        <v>141</v>
      </c>
      <c r="B4" s="43">
        <v>15</v>
      </c>
      <c r="C4" s="44" t="s">
        <v>146</v>
      </c>
    </row>
    <row r="5" spans="1:3" ht="15" customHeight="1" x14ac:dyDescent="0.25">
      <c r="A5" t="s">
        <v>147</v>
      </c>
      <c r="B5" s="43">
        <f>Sueldos!D18</f>
        <v>7</v>
      </c>
      <c r="C5" s="44" t="s">
        <v>148</v>
      </c>
    </row>
    <row r="6" spans="1:3" ht="15" customHeight="1" x14ac:dyDescent="0.25">
      <c r="A6" t="s">
        <v>149</v>
      </c>
      <c r="B6" s="45">
        <f>Sueldos!H18</f>
        <v>48</v>
      </c>
      <c r="C6" s="44" t="s">
        <v>150</v>
      </c>
    </row>
    <row r="7" spans="1:3" ht="15" customHeight="1" x14ac:dyDescent="0.25">
      <c r="A7" t="s">
        <v>151</v>
      </c>
      <c r="B7" s="43">
        <v>200</v>
      </c>
      <c r="C7" s="44" t="s">
        <v>152</v>
      </c>
    </row>
    <row r="8" spans="1:3" ht="15" customHeight="1" x14ac:dyDescent="0.25">
      <c r="A8" t="s">
        <v>153</v>
      </c>
      <c r="B8" s="43">
        <v>160</v>
      </c>
      <c r="C8" s="44" t="s">
        <v>154</v>
      </c>
    </row>
    <row r="10" spans="1:3" ht="15" customHeight="1" x14ac:dyDescent="0.25">
      <c r="A10" s="42" t="s">
        <v>155</v>
      </c>
    </row>
    <row r="11" spans="1:3" ht="42" customHeight="1" x14ac:dyDescent="0.25">
      <c r="A11" s="1" t="s">
        <v>156</v>
      </c>
      <c r="B11" s="1"/>
      <c r="C11" s="1"/>
    </row>
    <row r="12" spans="1:3" ht="42" customHeight="1" x14ac:dyDescent="0.25">
      <c r="A12" s="1" t="s">
        <v>157</v>
      </c>
      <c r="B12" s="1"/>
      <c r="C12" s="1"/>
    </row>
    <row r="13" spans="1:3" ht="42" customHeight="1" x14ac:dyDescent="0.25">
      <c r="A13" s="1" t="s">
        <v>158</v>
      </c>
      <c r="B13" s="1"/>
      <c r="C13" s="1"/>
    </row>
    <row r="14" spans="1:3" ht="42" customHeight="1" x14ac:dyDescent="0.25">
      <c r="A14" s="1" t="s">
        <v>159</v>
      </c>
      <c r="B14" s="1"/>
      <c r="C14" s="1"/>
    </row>
    <row r="15" spans="1:3" ht="42" customHeight="1" x14ac:dyDescent="0.25">
      <c r="A15" s="1" t="s">
        <v>160</v>
      </c>
      <c r="B15" s="1"/>
      <c r="C15" s="1"/>
    </row>
    <row r="16" spans="1:3" ht="42" customHeight="1" x14ac:dyDescent="0.25">
      <c r="A16" s="1" t="s">
        <v>161</v>
      </c>
      <c r="B16" s="1"/>
      <c r="C16" s="1"/>
    </row>
    <row r="17" spans="1:3" ht="68.25" customHeight="1" x14ac:dyDescent="0.25">
      <c r="A17" s="44" t="s">
        <v>162</v>
      </c>
    </row>
    <row r="18" spans="1:3" ht="15" customHeight="1" x14ac:dyDescent="0.25">
      <c r="A18" s="37"/>
    </row>
    <row r="20" spans="1:3" ht="15" customHeight="1" x14ac:dyDescent="0.25">
      <c r="A20" s="37" t="s">
        <v>163</v>
      </c>
    </row>
    <row r="21" spans="1:3" ht="15" customHeight="1" x14ac:dyDescent="0.25">
      <c r="A21" t="s">
        <v>164</v>
      </c>
      <c r="B21" s="46">
        <v>7109.3753999999999</v>
      </c>
    </row>
    <row r="22" spans="1:3" ht="15" customHeight="1" x14ac:dyDescent="0.25">
      <c r="A22" t="s">
        <v>165</v>
      </c>
      <c r="B22" s="46">
        <f>Sueldos!H18*Notas!B8</f>
        <v>7680</v>
      </c>
    </row>
    <row r="23" spans="1:3" ht="15" customHeight="1" x14ac:dyDescent="0.25">
      <c r="A23" t="s">
        <v>166</v>
      </c>
      <c r="B23" s="47">
        <f>B22/B21-1</f>
        <v>8.0263675484065766E-2</v>
      </c>
      <c r="C23" t="s">
        <v>167</v>
      </c>
    </row>
    <row r="25" spans="1:3" ht="15" customHeight="1" x14ac:dyDescent="0.25">
      <c r="A25" s="37" t="s">
        <v>168</v>
      </c>
    </row>
    <row r="26" spans="1:3" ht="15" customHeight="1" x14ac:dyDescent="0.25">
      <c r="A26" t="s">
        <v>169</v>
      </c>
      <c r="B26" s="7">
        <f>SUMPRODUCT(Sueldos!J4:J9,Sueldos!H4:H9)/Sueldos!H18</f>
        <v>29643.75</v>
      </c>
    </row>
    <row r="27" spans="1:3" ht="15" customHeight="1" x14ac:dyDescent="0.25">
      <c r="A27" t="s">
        <v>170</v>
      </c>
      <c r="B27" s="48">
        <f>(Notas!B7*Notas!B8)/B26</f>
        <v>1.0794855576639257</v>
      </c>
      <c r="C27" t="s">
        <v>171</v>
      </c>
    </row>
  </sheetData>
  <mergeCells count="6">
    <mergeCell ref="A16:C16"/>
    <mergeCell ref="A11:C11"/>
    <mergeCell ref="A12:C12"/>
    <mergeCell ref="A13:C13"/>
    <mergeCell ref="A14:C14"/>
    <mergeCell ref="A15:C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zoomScaleNormal="100" workbookViewId="0"/>
  </sheetViews>
  <sheetFormatPr baseColWidth="10" defaultColWidth="8.7109375" defaultRowHeight="15" x14ac:dyDescent="0.25"/>
  <cols>
    <col min="1" max="1" width="34" customWidth="1"/>
    <col min="2" max="4" width="14" customWidth="1"/>
    <col min="5" max="5" width="20" customWidth="1"/>
    <col min="6" max="6" width="22" customWidth="1"/>
    <col min="7" max="7" width="30" customWidth="1"/>
  </cols>
  <sheetData>
    <row r="1" spans="1:7" ht="15" customHeight="1" x14ac:dyDescent="0.25">
      <c r="A1" s="27" t="s">
        <v>172</v>
      </c>
    </row>
    <row r="2" spans="1:7" ht="15" customHeight="1" x14ac:dyDescent="0.25">
      <c r="A2" t="s">
        <v>173</v>
      </c>
    </row>
    <row r="4" spans="1:7" ht="27.75" customHeight="1" x14ac:dyDescent="0.25">
      <c r="A4" s="28" t="s">
        <v>174</v>
      </c>
      <c r="B4" s="28" t="s">
        <v>49</v>
      </c>
      <c r="C4" s="28" t="s">
        <v>175</v>
      </c>
      <c r="D4" s="28" t="s">
        <v>121</v>
      </c>
      <c r="E4" s="28" t="s">
        <v>176</v>
      </c>
      <c r="F4" s="28" t="s">
        <v>177</v>
      </c>
    </row>
    <row r="5" spans="1:7" ht="15" customHeight="1" x14ac:dyDescent="0.25">
      <c r="A5" s="10" t="s">
        <v>178</v>
      </c>
      <c r="B5" s="23">
        <v>2.4</v>
      </c>
      <c r="C5" s="23">
        <v>1.5</v>
      </c>
      <c r="D5" s="23">
        <v>1.6</v>
      </c>
      <c r="E5" s="13">
        <v>77916</v>
      </c>
      <c r="F5" s="13">
        <f>B5*Notas!$B$7*Notas!$B$8</f>
        <v>76800</v>
      </c>
    </row>
    <row r="6" spans="1:7" ht="15" customHeight="1" x14ac:dyDescent="0.25">
      <c r="A6" s="10" t="s">
        <v>179</v>
      </c>
      <c r="B6" s="23">
        <v>9.6999999999999993</v>
      </c>
      <c r="C6" s="23">
        <v>4.5</v>
      </c>
      <c r="D6" s="23">
        <v>2.2000000000000002</v>
      </c>
      <c r="E6" s="13">
        <v>311666</v>
      </c>
      <c r="F6" s="13">
        <f>B6*Notas!$B$7*Notas!$B$8</f>
        <v>310399.99999999994</v>
      </c>
    </row>
    <row r="7" spans="1:7" ht="15" customHeight="1" x14ac:dyDescent="0.25">
      <c r="A7" s="10" t="s">
        <v>180</v>
      </c>
      <c r="B7" s="23">
        <v>30.8</v>
      </c>
      <c r="C7" s="23">
        <v>7.4</v>
      </c>
      <c r="D7" s="23">
        <v>4.0999999999999996</v>
      </c>
      <c r="E7" s="13">
        <v>986942</v>
      </c>
      <c r="F7" s="13">
        <f>B7*Notas!$B$7*Notas!$B$8</f>
        <v>985600</v>
      </c>
    </row>
    <row r="8" spans="1:7" ht="15" customHeight="1" x14ac:dyDescent="0.25">
      <c r="A8" s="10" t="s">
        <v>181</v>
      </c>
      <c r="B8" s="23">
        <v>4.9000000000000004</v>
      </c>
      <c r="C8" s="23">
        <v>1.5</v>
      </c>
      <c r="D8" s="23">
        <v>3.3</v>
      </c>
      <c r="E8" s="13">
        <v>155833</v>
      </c>
      <c r="F8" s="13">
        <f>B8*Notas!$B$7*Notas!$B$8</f>
        <v>156800.00000000003</v>
      </c>
    </row>
    <row r="9" spans="1:7" ht="15" customHeight="1" x14ac:dyDescent="0.25">
      <c r="A9" s="49" t="s">
        <v>13</v>
      </c>
      <c r="B9" s="49">
        <f>SUM(B5:B8)</f>
        <v>47.8</v>
      </c>
      <c r="C9" s="49">
        <f>SUM(C5:C8)</f>
        <v>14.9</v>
      </c>
      <c r="D9" s="49"/>
      <c r="E9" s="50">
        <f>SUM(E5:E8)</f>
        <v>1532357</v>
      </c>
      <c r="F9" s="50">
        <f>SUM(F5:F8)</f>
        <v>1529600</v>
      </c>
    </row>
    <row r="10" spans="1:7" ht="15" customHeight="1" x14ac:dyDescent="0.25">
      <c r="A10" t="s">
        <v>182</v>
      </c>
      <c r="B10" s="51">
        <f>B6+B7</f>
        <v>40.5</v>
      </c>
      <c r="C10" s="51">
        <f>C6+C7</f>
        <v>11.9</v>
      </c>
      <c r="D10" t="s">
        <v>183</v>
      </c>
    </row>
    <row r="12" spans="1:7" ht="15" customHeight="1" x14ac:dyDescent="0.25">
      <c r="A12" s="28" t="s">
        <v>184</v>
      </c>
      <c r="B12" s="28" t="s">
        <v>178</v>
      </c>
      <c r="C12" s="28" t="s">
        <v>179</v>
      </c>
      <c r="D12" s="28" t="s">
        <v>180</v>
      </c>
      <c r="E12" s="28" t="s">
        <v>181</v>
      </c>
      <c r="F12" s="28" t="s">
        <v>185</v>
      </c>
      <c r="G12" s="28" t="s">
        <v>186</v>
      </c>
    </row>
    <row r="13" spans="1:7" ht="15" customHeight="1" x14ac:dyDescent="0.25">
      <c r="A13" s="10" t="s">
        <v>187</v>
      </c>
      <c r="B13" s="23">
        <v>0.3</v>
      </c>
      <c r="C13" s="23">
        <v>1.2</v>
      </c>
      <c r="D13" s="23">
        <v>3.1</v>
      </c>
      <c r="E13" s="23">
        <v>0.7</v>
      </c>
      <c r="F13" s="23">
        <f t="shared" ref="F13:F19" si="0">SUM(B13:E13)</f>
        <v>5.3</v>
      </c>
      <c r="G13" s="10" t="s">
        <v>53</v>
      </c>
    </row>
    <row r="14" spans="1:7" ht="15" customHeight="1" x14ac:dyDescent="0.25">
      <c r="A14" s="10" t="s">
        <v>188</v>
      </c>
      <c r="B14" s="23">
        <v>0.2</v>
      </c>
      <c r="C14" s="23">
        <v>0.8</v>
      </c>
      <c r="D14" s="23">
        <v>1.5</v>
      </c>
      <c r="E14" s="23">
        <v>0.2</v>
      </c>
      <c r="F14" s="23">
        <f t="shared" si="0"/>
        <v>2.7</v>
      </c>
      <c r="G14" s="10" t="s">
        <v>189</v>
      </c>
    </row>
    <row r="15" spans="1:7" ht="15" customHeight="1" x14ac:dyDescent="0.25">
      <c r="A15" s="10" t="s">
        <v>190</v>
      </c>
      <c r="B15" s="23">
        <v>0.9</v>
      </c>
      <c r="C15" s="23">
        <v>1.8</v>
      </c>
      <c r="D15" s="23">
        <v>2.5</v>
      </c>
      <c r="E15" s="23">
        <v>0.2</v>
      </c>
      <c r="F15" s="23">
        <f t="shared" si="0"/>
        <v>5.4</v>
      </c>
      <c r="G15" s="10" t="s">
        <v>56</v>
      </c>
    </row>
    <row r="16" spans="1:7" ht="15" customHeight="1" x14ac:dyDescent="0.25">
      <c r="A16" s="10" t="s">
        <v>191</v>
      </c>
      <c r="B16" s="23">
        <v>0.5</v>
      </c>
      <c r="C16" s="23">
        <v>3.5</v>
      </c>
      <c r="D16" s="23">
        <v>4.9000000000000004</v>
      </c>
      <c r="E16" s="23">
        <v>0.2</v>
      </c>
      <c r="F16" s="23">
        <f t="shared" si="0"/>
        <v>9.1</v>
      </c>
      <c r="G16" s="10" t="s">
        <v>192</v>
      </c>
    </row>
    <row r="17" spans="1:7" ht="15" customHeight="1" x14ac:dyDescent="0.25">
      <c r="A17" s="10" t="s">
        <v>193</v>
      </c>
      <c r="B17" s="23">
        <v>0.2</v>
      </c>
      <c r="C17" s="23">
        <v>1.3</v>
      </c>
      <c r="D17" s="23">
        <v>10.5</v>
      </c>
      <c r="E17" s="23">
        <v>0.9</v>
      </c>
      <c r="F17" s="23">
        <f t="shared" si="0"/>
        <v>12.9</v>
      </c>
      <c r="G17" s="10" t="s">
        <v>194</v>
      </c>
    </row>
    <row r="18" spans="1:7" ht="15" customHeight="1" x14ac:dyDescent="0.25">
      <c r="A18" s="10" t="s">
        <v>195</v>
      </c>
      <c r="B18" s="23">
        <v>0.2</v>
      </c>
      <c r="C18" s="23">
        <v>1</v>
      </c>
      <c r="D18" s="23">
        <v>7.4</v>
      </c>
      <c r="E18" s="23">
        <v>1.2</v>
      </c>
      <c r="F18" s="23">
        <f t="shared" si="0"/>
        <v>9.7999999999999989</v>
      </c>
      <c r="G18" s="10" t="s">
        <v>65</v>
      </c>
    </row>
    <row r="19" spans="1:7" ht="15" customHeight="1" x14ac:dyDescent="0.25">
      <c r="A19" s="10" t="s">
        <v>196</v>
      </c>
      <c r="B19" s="23">
        <v>0.1</v>
      </c>
      <c r="C19" s="23">
        <v>0.3</v>
      </c>
      <c r="D19" s="23">
        <v>0.9</v>
      </c>
      <c r="E19" s="23">
        <v>1.5</v>
      </c>
      <c r="F19" s="23">
        <f t="shared" si="0"/>
        <v>2.8</v>
      </c>
      <c r="G19" s="10" t="s">
        <v>189</v>
      </c>
    </row>
    <row r="20" spans="1:7" ht="15" customHeight="1" x14ac:dyDescent="0.25">
      <c r="A20" s="52" t="s">
        <v>13</v>
      </c>
      <c r="B20" s="49">
        <f>SUM(B13:B19)</f>
        <v>2.4000000000000004</v>
      </c>
      <c r="C20" s="49">
        <f>SUM(C13:C19)</f>
        <v>9.9</v>
      </c>
      <c r="D20" s="49">
        <f>SUM(D13:D19)</f>
        <v>30.799999999999997</v>
      </c>
      <c r="E20" s="49">
        <f>SUM(E13:E19)</f>
        <v>4.8999999999999995</v>
      </c>
      <c r="F20" s="49">
        <f>SUM(F13:F19)</f>
        <v>47.999999999999993</v>
      </c>
      <c r="G20" s="52" t="str">
        <f>IF(ROUND(F20,1)=ROUND(Sueldos!H18,1),"Cuadra con Sueldos","Revisar Sueldos")</f>
        <v>Cuadra con Sueldos</v>
      </c>
    </row>
    <row r="22" spans="1:7" ht="15" customHeight="1" x14ac:dyDescent="0.25">
      <c r="A22" t="s">
        <v>197</v>
      </c>
    </row>
    <row r="23" spans="1:7" ht="15" customHeight="1" x14ac:dyDescent="0.25">
      <c r="A23" t="s">
        <v>198</v>
      </c>
      <c r="B23" s="51">
        <f>C9*0.75</f>
        <v>11.175000000000001</v>
      </c>
    </row>
    <row r="24" spans="1:7" ht="15" customHeight="1" x14ac:dyDescent="0.25">
      <c r="A24" t="s">
        <v>199</v>
      </c>
      <c r="B24" s="51">
        <f>Sueldos!H18*1.43</f>
        <v>68.64</v>
      </c>
    </row>
    <row r="25" spans="1:7" ht="15" customHeight="1" x14ac:dyDescent="0.25">
      <c r="A25" t="s">
        <v>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tabSelected="1" zoomScaleNormal="100" workbookViewId="0"/>
  </sheetViews>
  <sheetFormatPr baseColWidth="10" defaultColWidth="8.7109375" defaultRowHeight="15" x14ac:dyDescent="0.25"/>
  <cols>
    <col min="1" max="1" width="44" customWidth="1"/>
    <col min="2" max="2" width="13" customWidth="1"/>
    <col min="3" max="3" width="18" customWidth="1"/>
    <col min="4" max="4" width="14" customWidth="1"/>
    <col min="5" max="5" width="18" customWidth="1"/>
    <col min="6" max="6" width="20" customWidth="1"/>
  </cols>
  <sheetData>
    <row r="1" spans="1:6" ht="15" customHeight="1" x14ac:dyDescent="0.25">
      <c r="A1" s="27" t="s">
        <v>201</v>
      </c>
    </row>
    <row r="2" spans="1:6" ht="15" customHeight="1" x14ac:dyDescent="0.25">
      <c r="A2" t="s">
        <v>202</v>
      </c>
    </row>
    <row r="5" spans="1:6" ht="15" customHeight="1" x14ac:dyDescent="0.25">
      <c r="A5" s="10" t="s">
        <v>203</v>
      </c>
      <c r="B5" s="23">
        <f>Sueldos!H18</f>
        <v>48</v>
      </c>
      <c r="C5" s="30">
        <f>B5*Notas!$B$7*Notas!$B$8/Notas!$B$3</f>
        <v>83027.027027027027</v>
      </c>
      <c r="D5" s="30">
        <f>TotalProyecto!$C$4/Notas!$B$3</f>
        <v>27499.999999999996</v>
      </c>
      <c r="E5" s="30">
        <f>(C5+D5+('Hw&amp;SW'!$E$16+Otros!$E$10)/Notas!$B$3)*1.1</f>
        <v>1044661.6756756757</v>
      </c>
      <c r="F5" s="30">
        <f>2000000-E5</f>
        <v>955338.32432432426</v>
      </c>
    </row>
    <row r="6" spans="1:6" ht="15" customHeight="1" x14ac:dyDescent="0.25">
      <c r="A6" s="10" t="s">
        <v>204</v>
      </c>
      <c r="B6" s="23">
        <f>Sueldos!H18*1.3</f>
        <v>62.400000000000006</v>
      </c>
      <c r="C6" s="30">
        <f>B6*Notas!$B$7*Notas!$B$8/Notas!$B$3</f>
        <v>107935.13513513515</v>
      </c>
      <c r="D6" s="30">
        <f>TotalProyecto!$C$4/Notas!$B$3</f>
        <v>27499.999999999996</v>
      </c>
      <c r="E6" s="30">
        <f>(C6+D6+('Hw&amp;SW'!$E$16+Otros!$E$10)/Notas!$B$3)*1.1</f>
        <v>1072060.5945945948</v>
      </c>
      <c r="F6" s="30">
        <f>2000000-E6</f>
        <v>927939.40540540521</v>
      </c>
    </row>
    <row r="7" spans="1:6" ht="15" customHeight="1" x14ac:dyDescent="0.25">
      <c r="A7" s="10" t="s">
        <v>205</v>
      </c>
      <c r="B7" s="23">
        <f>Sueldos!H18*1.43</f>
        <v>68.64</v>
      </c>
      <c r="C7" s="30">
        <f>B7*Notas!$B$7*Notas!$B$8/Notas!$B$3</f>
        <v>118728.64864864865</v>
      </c>
      <c r="D7" s="30">
        <f>TotalProyecto!$C$4/Notas!$B$3</f>
        <v>27499.999999999996</v>
      </c>
      <c r="E7" s="30">
        <f>(C7+D7+('Hw&amp;SW'!$E$16+Otros!$E$10)/Notas!$B$3)*1.1</f>
        <v>1083933.4594594596</v>
      </c>
      <c r="F7" s="30">
        <f>2000000-E7</f>
        <v>916066.54054054036</v>
      </c>
    </row>
    <row r="8" spans="1:6" ht="15" customHeight="1" x14ac:dyDescent="0.25">
      <c r="A8" s="10" t="s">
        <v>206</v>
      </c>
      <c r="B8" s="23">
        <f>Sueldos!H18</f>
        <v>48</v>
      </c>
      <c r="C8" s="30">
        <f>B8*Notas!$B$8*35</f>
        <v>268800</v>
      </c>
      <c r="D8" s="30">
        <f>TotalProyecto!$C$4/Notas!$B$3</f>
        <v>27499.999999999996</v>
      </c>
      <c r="E8" s="30">
        <f>(C8+D8+('Hw&amp;SW'!$E$16+Otros!$E$10)/Notas!$B$3)*1.1</f>
        <v>1249011.945945946</v>
      </c>
      <c r="F8" s="30">
        <f>2000000-E8</f>
        <v>750988.05405405397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Costos Indirectos</vt:lpstr>
      <vt:lpstr>Hw&amp;SW</vt:lpstr>
      <vt:lpstr>Sueldos</vt:lpstr>
      <vt:lpstr>DesgloseIntegrantes</vt:lpstr>
      <vt:lpstr>Otros</vt:lpstr>
      <vt:lpstr>TotalProyecto</vt:lpstr>
      <vt:lpstr>Notas</vt:lpstr>
      <vt:lpstr>COCOMO_Doc1</vt:lpstr>
      <vt:lpstr>Sensibilidad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Jsilva</dc:creator>
  <dc:description/>
  <cp:lastModifiedBy>Ahumada Anguiano Ana Elisa</cp:lastModifiedBy>
  <cp:revision>0</cp:revision>
  <dcterms:created xsi:type="dcterms:W3CDTF">2019-08-18T21:32:48Z</dcterms:created>
  <dcterms:modified xsi:type="dcterms:W3CDTF">2026-10-09T19:20:38Z</dcterms:modified>
  <dc:language>en-US</dc:language>
</cp:coreProperties>
</file>