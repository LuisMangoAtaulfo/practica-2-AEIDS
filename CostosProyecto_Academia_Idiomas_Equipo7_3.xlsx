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eli\Downloads\"/>
    </mc:Choice>
  </mc:AlternateContent>
  <xr:revisionPtr revIDLastSave="0" documentId="13_ncr:1_{AB3CC075-DEB9-4589-9AD4-EE89C02A87E0}" xr6:coauthVersionLast="47" xr6:coauthVersionMax="47" xr10:uidLastSave="{00000000-0000-0000-0000-000000000000}"/>
  <bookViews>
    <workbookView xWindow="-120" yWindow="-120" windowWidth="29040" windowHeight="15720" tabRatio="500" activeTab="7" xr2:uid="{00000000-000D-0000-FFFF-FFFF00000000}"/>
  </bookViews>
  <sheets>
    <sheet name="Costos Indirectos" sheetId="1" r:id="rId1"/>
    <sheet name="Hw&amp;SW" sheetId="2" r:id="rId2"/>
    <sheet name="Sueldos" sheetId="3" r:id="rId3"/>
    <sheet name="Otros" sheetId="4" r:id="rId4"/>
    <sheet name="TotalProyecto" sheetId="5" r:id="rId5"/>
    <sheet name="Notas" sheetId="6" r:id="rId6"/>
    <sheet name="COCOMO_Doc1" sheetId="7" r:id="rId7"/>
    <sheet name="Sensibilida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7" l="1"/>
  <c r="G20" i="7" s="1"/>
  <c r="E20" i="7"/>
  <c r="D20" i="7"/>
  <c r="C20" i="7"/>
  <c r="B20" i="7"/>
  <c r="F19" i="7"/>
  <c r="F18" i="7"/>
  <c r="F17" i="7"/>
  <c r="F16" i="7"/>
  <c r="F15" i="7"/>
  <c r="F14" i="7"/>
  <c r="F13" i="7"/>
  <c r="C10" i="7"/>
  <c r="B10" i="7"/>
  <c r="F9" i="7"/>
  <c r="E9" i="7"/>
  <c r="C9" i="7"/>
  <c r="B23" i="7" s="1"/>
  <c r="B9" i="7"/>
  <c r="F8" i="7"/>
  <c r="F7" i="7"/>
  <c r="F6" i="7"/>
  <c r="F5" i="7"/>
  <c r="C18" i="5"/>
  <c r="C12" i="5"/>
  <c r="D12" i="5" s="1"/>
  <c r="D5" i="4"/>
  <c r="E5" i="4" s="1"/>
  <c r="D4" i="4"/>
  <c r="E4" i="4" s="1"/>
  <c r="E10" i="4" s="1"/>
  <c r="D9" i="2"/>
  <c r="E9" i="2" s="1"/>
  <c r="D8" i="2"/>
  <c r="D7" i="2"/>
  <c r="E7" i="2" s="1"/>
  <c r="D6" i="2"/>
  <c r="E6" i="2" s="1"/>
  <c r="D5" i="2"/>
  <c r="E5" i="2" s="1"/>
  <c r="D4" i="2"/>
  <c r="E4" i="2" s="1"/>
  <c r="D3" i="2"/>
  <c r="E3" i="2" s="1"/>
  <c r="E16" i="2" s="1"/>
  <c r="J2" i="2"/>
  <c r="D19" i="1"/>
  <c r="E19" i="1" s="1"/>
  <c r="C19" i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18" i="3"/>
  <c r="B5" i="6" s="1"/>
  <c r="J3" i="2" s="1"/>
  <c r="C8" i="2" s="1"/>
  <c r="E8" i="2" s="1"/>
  <c r="H9" i="3"/>
  <c r="H18" i="3" s="1"/>
  <c r="E9" i="3"/>
  <c r="F9" i="3" s="1"/>
  <c r="C9" i="3"/>
  <c r="H8" i="3"/>
  <c r="C8" i="3"/>
  <c r="E8" i="3" s="1"/>
  <c r="F8" i="3" s="1"/>
  <c r="H7" i="3"/>
  <c r="C7" i="3"/>
  <c r="E7" i="3" s="1"/>
  <c r="F7" i="3" s="1"/>
  <c r="H6" i="3"/>
  <c r="C6" i="3"/>
  <c r="E6" i="3" s="1"/>
  <c r="F6" i="3" s="1"/>
  <c r="H5" i="3"/>
  <c r="C5" i="3"/>
  <c r="E5" i="3" s="1"/>
  <c r="F5" i="3" s="1"/>
  <c r="H4" i="3"/>
  <c r="C4" i="3"/>
  <c r="E4" i="3" s="1"/>
  <c r="F10" i="4" l="1"/>
  <c r="C7" i="5"/>
  <c r="D7" i="5" s="1"/>
  <c r="G16" i="2"/>
  <c r="C5" i="5"/>
  <c r="D5" i="5" s="1"/>
  <c r="C4" i="5"/>
  <c r="D5" i="8"/>
  <c r="D6" i="8"/>
  <c r="D7" i="8"/>
  <c r="D8" i="8"/>
  <c r="C17" i="5"/>
  <c r="B6" i="6"/>
  <c r="B5" i="8"/>
  <c r="C5" i="8" s="1"/>
  <c r="E5" i="8" s="1"/>
  <c r="F5" i="8" s="1"/>
  <c r="B6" i="8"/>
  <c r="C6" i="8" s="1"/>
  <c r="B24" i="7"/>
  <c r="B7" i="8"/>
  <c r="C7" i="8" s="1"/>
  <c r="B8" i="8"/>
  <c r="C8" i="8" s="1"/>
  <c r="F4" i="3"/>
  <c r="F18" i="3" s="1"/>
  <c r="C6" i="5" s="1"/>
  <c r="D6" i="5" s="1"/>
  <c r="E18" i="3"/>
  <c r="D4" i="5" l="1"/>
  <c r="C8" i="5"/>
  <c r="E6" i="8"/>
  <c r="F6" i="8" s="1"/>
  <c r="E8" i="8"/>
  <c r="F8" i="8" s="1"/>
  <c r="E7" i="8"/>
  <c r="F7" i="8" s="1"/>
  <c r="D8" i="5" l="1"/>
  <c r="C9" i="5"/>
  <c r="D9" i="5" l="1"/>
  <c r="C10" i="5"/>
  <c r="D13" i="5" l="1"/>
  <c r="C13" i="5"/>
  <c r="C11" i="5"/>
  <c r="D11" i="5" s="1"/>
  <c r="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" authorId="0" shapeId="0" xr:uid="{00000000-0006-0000-0000-000002000000}">
      <text>
        <r>
          <rPr>
            <sz val="10"/>
            <rFont val="Arial"/>
            <family val="2"/>
          </rPr>
          <t>Personas de la oficina del proveedor entre las que se reparten los costos indirectos. Valor de referencia de la plantilla.</t>
        </r>
      </text>
    </comment>
    <comment ref="B4" authorId="0" shapeId="0" xr:uid="{00000000-0006-0000-0000-000001000000}">
      <text>
        <r>
          <rPr>
            <sz val="10"/>
            <rFont val="Arial"/>
            <family val="2"/>
          </rPr>
          <t>Renta, luz, agua, limpieza, papelería, varios y caja son los valores de referencia de la plantilla, no datos de la academia. Pendientes de validar.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" authorId="0" shapeId="0" xr:uid="{00000000-0006-0000-0100-000003000000}">
      <text>
        <r>
          <rPr>
            <sz val="10"/>
            <rFont val="Arial"/>
            <family val="2"/>
          </rPr>
          <t>Documento 2: el proyecto dura 10 meses.</t>
        </r>
      </text>
    </comment>
    <comment ref="B3" authorId="0" shapeId="0" xr:uid="{00000000-0006-0000-0100-000001000000}">
      <text>
        <r>
          <rPr>
            <sz val="10"/>
            <rFont val="Arial"/>
            <family val="2"/>
          </rPr>
          <t>Enunciado de la Práctica 2: los equipos de generación de código de barras cuestan aproximadamente 1,200 USD y hay 500 salones en los distintos planteles.</t>
        </r>
      </text>
    </comment>
    <comment ref="J3" authorId="0" shapeId="0" xr:uid="{00000000-0006-0000-0100-000004000000}">
      <text>
        <r>
          <rPr>
            <sz val="10"/>
            <rFont val="Arial"/>
            <family val="2"/>
          </rPr>
          <t>Equipo promedio: 148 persona-mes / 10 meses ≈ 15. El pico es de 18 personas en Construcción.</t>
        </r>
      </text>
    </comment>
    <comment ref="B9" authorId="0" shapeId="0" xr:uid="{00000000-0006-0000-0100-000002000000}">
      <text>
        <r>
          <rPr>
            <sz val="10"/>
            <rFont val="Arial"/>
            <family val="2"/>
          </rPr>
          <t>Documento 2, sección 3.3: 10,000 USD de servicios de terceros para todo el proyecto.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Arial"/>
            <family val="2"/>
          </rPr>
          <t>La práctica fija un sueldo promedio de 200 pesos por hora: 200 × 160 h = 32,000 MXN al mes. Por eso todos los puestos tienen el mismo sueldo mensual.</t>
        </r>
      </text>
    </comment>
    <comment ref="D4" authorId="0" shapeId="0" xr:uid="{00000000-0006-0000-0200-000002000000}">
      <text>
        <r>
          <rPr>
            <sz val="10"/>
            <rFont val="Arial"/>
            <family val="2"/>
          </rPr>
          <t>Número máximo de personas simultáneas en el puesto, según la tabla de la sección 2.6 del Documento 2.</t>
        </r>
      </text>
    </comment>
    <comment ref="G4" authorId="0" shapeId="0" xr:uid="{00000000-0006-0000-0200-000003000000}">
      <text>
        <r>
          <rPr>
            <sz val="10"/>
            <rFont val="Arial"/>
            <family val="2"/>
          </rPr>
          <t>Meses equivalentes de tiempo completo: personas × meses da los persona-mes del Documento 2 (148 en total).</t>
        </r>
      </text>
    </comment>
  </commentList>
</comments>
</file>

<file path=xl/sharedStrings.xml><?xml version="1.0" encoding="utf-8"?>
<sst xmlns="http://schemas.openxmlformats.org/spreadsheetml/2006/main" count="170" uniqueCount="148">
  <si>
    <t>Costos</t>
  </si>
  <si>
    <t>Descripción</t>
  </si>
  <si>
    <t>Anual</t>
  </si>
  <si>
    <t>Mensual</t>
  </si>
  <si>
    <t>Costo/empleado</t>
  </si>
  <si>
    <t>Empleados de la oficina</t>
  </si>
  <si>
    <t>Renta</t>
  </si>
  <si>
    <t>Luz</t>
  </si>
  <si>
    <t>Agua</t>
  </si>
  <si>
    <t>Limpieza</t>
  </si>
  <si>
    <t>Papelería</t>
  </si>
  <si>
    <t>Varios</t>
  </si>
  <si>
    <t>Caja</t>
  </si>
  <si>
    <t>Total</t>
  </si>
  <si>
    <t>Estos importes son los de la plantilla original; se conservan como referencia y se deben validar.</t>
  </si>
  <si>
    <t>Infraestructura</t>
  </si>
  <si>
    <t>Número</t>
  </si>
  <si>
    <t>Costo Unitario (MXN)</t>
  </si>
  <si>
    <t>Costo por proyecto (MXN)</t>
  </si>
  <si>
    <t>Base del cálculo</t>
  </si>
  <si>
    <t>Costo unitario (USD)</t>
  </si>
  <si>
    <t>Número de meses de duración</t>
  </si>
  <si>
    <t>Generadores de código de barras para salones</t>
  </si>
  <si>
    <t>Cantidad × costo unitario (compra)</t>
  </si>
  <si>
    <t>Empleados proyecto (máx.)</t>
  </si>
  <si>
    <t>Instalación, energía y conectividad en salones</t>
  </si>
  <si>
    <t>Cantidad × costo unitario (servicio)</t>
  </si>
  <si>
    <t>Equipos administrativos con Windows 11 Pro</t>
  </si>
  <si>
    <t>Microsoft 365 Business Premium (primer año)</t>
  </si>
  <si>
    <t>Cantidad × costo del primer año completo</t>
  </si>
  <si>
    <t>Infraestructura en la nube durante el proyecto</t>
  </si>
  <si>
    <t>Cantidad × costo mensual × meses</t>
  </si>
  <si>
    <t>Herramientas y licencias de desarrollo (IDE, Enterprise Architect, tiendas móviles)</t>
  </si>
  <si>
    <t>Licencias para el equipo máximo × costo unitario</t>
  </si>
  <si>
    <t>Servicios de terceros (pasarela de pago, SMS y correo, certificados)</t>
  </si>
  <si>
    <t>Costo del proyecto</t>
  </si>
  <si>
    <t>Totales</t>
  </si>
  <si>
    <t>Las cifras en dólares coinciden con el Documento 2, sección 3.3 (factibilidad económica).</t>
  </si>
  <si>
    <t>Sueldos</t>
  </si>
  <si>
    <t>Puesto</t>
  </si>
  <si>
    <t>Mensual (MXN)</t>
  </si>
  <si>
    <t>Recursos Proyecto (máx.)</t>
  </si>
  <si>
    <t>Total Mensual</t>
  </si>
  <si>
    <t>Total Proyecto</t>
  </si>
  <si>
    <t>Tiempo a Utilizar (meses eq.)</t>
  </si>
  <si>
    <t>Persona-mes</t>
  </si>
  <si>
    <t>Actividad COCOMO II (RUP/MBASE)</t>
  </si>
  <si>
    <t>Director de proyecto</t>
  </si>
  <si>
    <t>Management: 0.3 + 1.2 + 3.1 + 0.7</t>
  </si>
  <si>
    <t>Analista de requisitos</t>
  </si>
  <si>
    <t>Requirements: 0.9 + 1.8 + 2.5 + 0.2</t>
  </si>
  <si>
    <t>Arquitecto y diseñador de software</t>
  </si>
  <si>
    <t>Design: 0.5 + 3.5 + 4.9 + 0.2</t>
  </si>
  <si>
    <t>Desarrollador .NET (web, API y móvil)</t>
  </si>
  <si>
    <t>Implementation: 0.2 + 1.3 + 10.5 + 0.9 = 12.9</t>
  </si>
  <si>
    <t>Ingeniero de pruebas (QA)</t>
  </si>
  <si>
    <t>Assessment: 0.2 + 1.0 + 7.4 + 1.2</t>
  </si>
  <si>
    <t>Ingeniero DevOps (ambiente, configuración y despliegue)</t>
  </si>
  <si>
    <t>Environment/CM 2.7 + Deployment 2.8</t>
  </si>
  <si>
    <t>Los persona-mes de la columna H suman 48.0, la distribución por actividad de COCOMO II del Documento 1 (hoja COCOMO_Doc1).</t>
  </si>
  <si>
    <t>Otros Costos</t>
  </si>
  <si>
    <t>Nùmero</t>
  </si>
  <si>
    <t>Costo (MXN)</t>
  </si>
  <si>
    <t>Total (MXN)</t>
  </si>
  <si>
    <t>Costo (USD)</t>
  </si>
  <si>
    <t>Auditoría de seguridad y pruebas de penetración</t>
  </si>
  <si>
    <t>Gestión del cambio y comunicación interna</t>
  </si>
  <si>
    <t>No se presupuestan viajes: el proyecto se ejecuta en la Ciudad de México y la integración con el corporativo de España es por web service.</t>
  </si>
  <si>
    <t>Resumen Costos</t>
  </si>
  <si>
    <t>Descripciòn</t>
  </si>
  <si>
    <t>Origen</t>
  </si>
  <si>
    <t>Indirectos</t>
  </si>
  <si>
    <t>Costo indirecto por empleado al mes × 48.0 persona-mes (COCOMO II)</t>
  </si>
  <si>
    <t>Hoja Hw&amp;SW (Documento 2, sección 3.3)</t>
  </si>
  <si>
    <t>Hoja Sueldos: 48.0 persona-mes (COCOMO II) × 32,000 MXN</t>
  </si>
  <si>
    <t>Otros</t>
  </si>
  <si>
    <t>Hoja Otros (Documento 2, sección 3.3)</t>
  </si>
  <si>
    <t>Costos directos del proyecto</t>
  </si>
  <si>
    <t>Suma de los cuatro rubros anteriores</t>
  </si>
  <si>
    <t>Reserva de contingencia (10%)</t>
  </si>
  <si>
    <t>Documento 2, sección 3.3</t>
  </si>
  <si>
    <t>Línea base de costos</t>
  </si>
  <si>
    <t>Costos directos más la reserva de contingencia</t>
  </si>
  <si>
    <t>Reserva de gestión</t>
  </si>
  <si>
    <t>Lo que resta del presupuesto autorizado; queda bajo control del patrocinador</t>
  </si>
  <si>
    <t>Presupuesto autorizado</t>
  </si>
  <si>
    <t>Enunciado de la Práctica 2: 2 millones de USD</t>
  </si>
  <si>
    <t>Margen de la línea base contra el presupuesto</t>
  </si>
  <si>
    <t>La línea base debe caber en el presupuesto autorizado</t>
  </si>
  <si>
    <t>Las cifras de este resumen coinciden con el Documento 2, sección 3.3: costos directos, reservas y presupuesto autorizado, incluidos los costos indirectos.</t>
  </si>
  <si>
    <t>Esfuerzo COCOMO II (persona-mes)</t>
  </si>
  <si>
    <t>Duración del proyecto (meses)</t>
  </si>
  <si>
    <t>Costos del proyecto – Academia de idiomas (Equipo 7)</t>
  </si>
  <si>
    <t>Parámetros del cálculo (celdas que se pueden ajustar)</t>
  </si>
  <si>
    <t>Tipo de cambio (MXN por USD)</t>
  </si>
  <si>
    <t>Tipo de cambio de referencia usado en el Documento 2.</t>
  </si>
  <si>
    <t>Documento 1, gráfica de Gantt: Inicio 1.5, Elaboración 4.5, Construcción 7.4 y Transición 1.5 meses (≈ 15 meses).</t>
  </si>
  <si>
    <t>Equipo máximo del proyecto (personas)</t>
  </si>
  <si>
    <t>Personas simultáneas en la hoja Sueldos. El promedio es 48.0 persona-mes / 15 meses = 3.2 personas.</t>
  </si>
  <si>
    <t>Esfuerzo total (persona-mes)</t>
  </si>
  <si>
    <t>COCOMO II de diseño temprano (Documento 1): 40.6 PM en Elaboración y Construcción; 47.9 PM con Inicio y Transición; la distribución por actividad suma 48.0 PM.</t>
  </si>
  <si>
    <t>Sueldo por hora (MXN)</t>
  </si>
  <si>
    <t>Enunciado de la Práctica 2: sueldo promedio de 200 pesos la hora.</t>
  </si>
  <si>
    <t>Horas por mes</t>
  </si>
  <si>
    <t>Base mensual usada en el Documento 2 (160 h/mes).</t>
  </si>
  <si>
    <t>Notas del Equipo 7</t>
  </si>
  <si>
    <t>1. Las cifras del Documento 2 están en dólares; en este libro se convierten a pesos con el tipo de cambio de la celda B3, porque la plantilla y el sueldo de la práctica están en pesos.</t>
  </si>
  <si>
    <t>2. Sueldos: la práctica fija un sueldo promedio de 200 pesos por hora, así que todos los puestos usan 32,000 MXN al mes (200 × 160 h), el mismo costo por persona-mes que se capturó en la herramienta COCOMO II.</t>
  </si>
  <si>
    <t>3. En la hoja Sueldos, los persona-mes de cada puesto salen de la distribución por actividad RUP/MBASE de COCOMO II (hoja COCOMO_Doc1). Recursos es el número máximo de personas simultáneas y Tiempo a Utilizar son los meses equivalentes de tiempo completo.</t>
  </si>
  <si>
    <t>4. Correcciones a las fórmulas de la plantilla: en Hw&amp;SW cada renglón multiplica cantidad por costo y, cuando el gasto es recurrente, por los meses. En TotalProyecto el total suma C4:C7 (incluye Otros).</t>
  </si>
  <si>
    <t>5. Los costos indirectos (renta, luz, agua, limpieza, papelería, varios y caja) son valores de referencia de la plantilla y deben validarse. Se cargan por persona-mes (costo por empleado al mes × 48.0 PM) porque el equipo no trabaja tiempo completo los 15 meses.</t>
  </si>
  <si>
    <t>6. La reserva de contingencia (10%) y la reserva de gestión coinciden con el Documento 2, sección 3.3.</t>
  </si>
  <si>
    <t>7. La distribución por actividad de COCOMO II suma 48.0 PM y la de fases 47.9 PM (costo de la herramienta: $1,532,357 MXN). El presupuesto usa 48.0 PM: $3,643 MXN más (0.2%), por redondeo del reporte.</t>
  </si>
  <si>
    <t>COCOMO II de diseño temprano – resultados del Documento 1 (P2_JD)</t>
  </si>
  <si>
    <t>136 PF sin ajustar, lenguaje de 3ª generación (10,880 SLOC), factores de escala y de costo nominales, EAF = 1.00, 32,000 MXN por persona-mes.</t>
  </si>
  <si>
    <t>Escenario</t>
  </si>
  <si>
    <t>Costo de personal</t>
  </si>
  <si>
    <t>Línea base</t>
  </si>
  <si>
    <t>Margen vs. $2 MDD</t>
  </si>
  <si>
    <t>Inicio</t>
  </si>
  <si>
    <t>Elaboración</t>
  </si>
  <si>
    <t>Construcción</t>
  </si>
  <si>
    <t>Transición</t>
  </si>
  <si>
    <t>Elaboración + Construcción (lo que reporta COCOMO II como Effort y Schedule)</t>
  </si>
  <si>
    <t>La herramienta reporta 40.6 PM por redondeo de las fases.</t>
  </si>
  <si>
    <t>Actividad</t>
  </si>
  <si>
    <t>Total (PM)</t>
  </si>
  <si>
    <t>Puesto en la hoja Sueldos</t>
  </si>
  <si>
    <t>Management</t>
  </si>
  <si>
    <t>Environment/CM</t>
  </si>
  <si>
    <t>Ingeniero DevOps</t>
  </si>
  <si>
    <t>Requirements</t>
  </si>
  <si>
    <t>Design</t>
  </si>
  <si>
    <t>Arquitecto y diseñador</t>
  </si>
  <si>
    <t>Implementation</t>
  </si>
  <si>
    <t>Desarrolladores .NET (2)</t>
  </si>
  <si>
    <t>Assessment</t>
  </si>
  <si>
    <t>Deployment</t>
  </si>
  <si>
    <t>Compresión máxima del calendario (SCED muy bajo = 75%, multiplicador 1.43)</t>
  </si>
  <si>
    <t>Duración comprimida (meses)</t>
  </si>
  <si>
    <t>Esfuerzo con compresión (PM)</t>
  </si>
  <si>
    <t>Aun con la compresión máxima del modelo, la duración queda por encima de los 10 meses del enunciado.</t>
  </si>
  <si>
    <t>Análisis de sensibilidad (USD) – Documento 2, sección 3.3</t>
  </si>
  <si>
    <t>Las demás partidas se mantienen constantes; los indirectos se ajustan a los persona-mes de cada escenario.</t>
  </si>
  <si>
    <t>Base: COCOMO II (48.0 PM, $200 MXN/h)</t>
  </si>
  <si>
    <t>Esfuerzo +30%</t>
  </si>
  <si>
    <t>Calendario comprimido al 75% (SCED 1.43)</t>
  </si>
  <si>
    <t>Tarifa de mercado ($35 USD/h)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</si>
</sst>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0.0"/>
    <numFmt numFmtId="166" formatCode="\$#,##0.00"/>
  </numFmts>
  <fonts count="10" x14ac:knownFonts="1">
    <font>
      <sz val="11"/>
      <color theme="1"/>
      <name val="Calibri"/>
      <family val="2"/>
      <charset val="1"/>
    </font>
    <font>
      <i/>
      <sz val="10"/>
      <name val="Calibri"/>
      <charset val="1"/>
    </font>
    <font>
      <sz val="10"/>
      <name val="Arial"/>
      <family val="2"/>
    </font>
    <font>
      <b/>
      <sz val="11"/>
      <name val="Calibri"/>
      <charset val="1"/>
    </font>
    <font>
      <b/>
      <sz val="13"/>
      <color rgb="FF156082"/>
      <name val="Calibri"/>
      <charset val="1"/>
    </font>
    <font>
      <b/>
      <sz val="11"/>
      <color rgb="FF156082"/>
      <name val="Calibri"/>
      <charset val="1"/>
    </font>
    <font>
      <sz val="11"/>
      <color rgb="FF0000FF"/>
      <name val="Calibri"/>
      <charset val="1"/>
    </font>
    <font>
      <b/>
      <sz val="12"/>
      <color rgb="FF156082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rgb="FF156082"/>
        <bgColor rgb="FF0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4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164" fontId="0" fillId="4" borderId="1" xfId="0" applyNumberFormat="1" applyFill="1" applyBorder="1"/>
    <xf numFmtId="164" fontId="3" fillId="0" borderId="1" xfId="0" applyNumberFormat="1" applyFont="1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165" fontId="6" fillId="0" borderId="0" xfId="0" applyNumberFormat="1" applyFont="1"/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/>
    <xf numFmtId="164" fontId="9" fillId="0" borderId="1" xfId="0" applyNumberFormat="1" applyFont="1" applyBorder="1"/>
    <xf numFmtId="165" fontId="0" fillId="0" borderId="0" xfId="0" applyNumberFormat="1"/>
    <xf numFmtId="0" fontId="9" fillId="0" borderId="1" xfId="0" applyFon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1"/>
  <sheetViews>
    <sheetView zoomScaleNormal="100" workbookViewId="0">
      <selection activeCell="E30" sqref="E30"/>
    </sheetView>
  </sheetViews>
  <sheetFormatPr baseColWidth="10" defaultColWidth="10.7109375" defaultRowHeight="15" x14ac:dyDescent="0.25"/>
  <cols>
    <col min="3" max="3" width="12.5703125" style="7" customWidth="1"/>
    <col min="4" max="4" width="11.5703125" style="7" customWidth="1"/>
    <col min="5" max="5" width="17.42578125" style="7" customWidth="1"/>
    <col min="8" max="8" width="24" customWidth="1"/>
  </cols>
  <sheetData>
    <row r="1" spans="2:9" ht="15" customHeight="1" x14ac:dyDescent="0.25">
      <c r="B1" s="5" t="s">
        <v>0</v>
      </c>
      <c r="C1" s="5"/>
      <c r="D1" s="5"/>
      <c r="E1" s="5"/>
    </row>
    <row r="2" spans="2:9" ht="15" customHeight="1" x14ac:dyDescent="0.25">
      <c r="B2" s="8" t="s">
        <v>1</v>
      </c>
      <c r="C2" s="9" t="s">
        <v>2</v>
      </c>
      <c r="D2" s="9" t="s">
        <v>3</v>
      </c>
      <c r="E2" s="9" t="s">
        <v>4</v>
      </c>
      <c r="H2" s="10" t="s">
        <v>5</v>
      </c>
      <c r="I2" s="11">
        <v>16</v>
      </c>
    </row>
    <row r="3" spans="2:9" ht="15" customHeight="1" x14ac:dyDescent="0.25">
      <c r="B3" s="12"/>
      <c r="C3" s="13"/>
      <c r="D3" s="13"/>
      <c r="E3" s="13"/>
    </row>
    <row r="4" spans="2:9" ht="15" customHeight="1" x14ac:dyDescent="0.25">
      <c r="B4" s="12" t="s">
        <v>6</v>
      </c>
      <c r="C4" s="13">
        <v>250000</v>
      </c>
      <c r="D4" s="13">
        <f t="shared" ref="D4:D10" si="0">+C4/12</f>
        <v>20833.333333333332</v>
      </c>
      <c r="E4" s="13">
        <f t="shared" ref="E4:E10" si="1">+D4/$I$2</f>
        <v>1302.0833333333333</v>
      </c>
    </row>
    <row r="5" spans="2:9" ht="15" customHeight="1" x14ac:dyDescent="0.25">
      <c r="B5" s="12" t="s">
        <v>7</v>
      </c>
      <c r="C5" s="13">
        <v>36000</v>
      </c>
      <c r="D5" s="13">
        <f t="shared" si="0"/>
        <v>3000</v>
      </c>
      <c r="E5" s="13">
        <f t="shared" si="1"/>
        <v>187.5</v>
      </c>
    </row>
    <row r="6" spans="2:9" ht="15" customHeight="1" x14ac:dyDescent="0.25">
      <c r="B6" s="12" t="s">
        <v>8</v>
      </c>
      <c r="C6" s="13">
        <v>12000</v>
      </c>
      <c r="D6" s="13">
        <f t="shared" si="0"/>
        <v>1000</v>
      </c>
      <c r="E6" s="13">
        <f t="shared" si="1"/>
        <v>62.5</v>
      </c>
    </row>
    <row r="7" spans="2:9" ht="15" customHeight="1" x14ac:dyDescent="0.25">
      <c r="B7" s="12" t="s">
        <v>9</v>
      </c>
      <c r="C7" s="13">
        <v>55000</v>
      </c>
      <c r="D7" s="13">
        <f t="shared" si="0"/>
        <v>4583.333333333333</v>
      </c>
      <c r="E7" s="13">
        <f t="shared" si="1"/>
        <v>286.45833333333331</v>
      </c>
    </row>
    <row r="8" spans="2:9" ht="15" customHeight="1" x14ac:dyDescent="0.25">
      <c r="B8" s="12" t="s">
        <v>10</v>
      </c>
      <c r="C8" s="13">
        <v>18000</v>
      </c>
      <c r="D8" s="13">
        <f t="shared" si="0"/>
        <v>1500</v>
      </c>
      <c r="E8" s="13">
        <f t="shared" si="1"/>
        <v>93.75</v>
      </c>
    </row>
    <row r="9" spans="2:9" ht="15" customHeight="1" x14ac:dyDescent="0.25">
      <c r="B9" s="12" t="s">
        <v>11</v>
      </c>
      <c r="C9" s="13">
        <v>24000</v>
      </c>
      <c r="D9" s="13">
        <f t="shared" si="0"/>
        <v>2000</v>
      </c>
      <c r="E9" s="13">
        <f t="shared" si="1"/>
        <v>125</v>
      </c>
    </row>
    <row r="10" spans="2:9" ht="15" customHeight="1" x14ac:dyDescent="0.25">
      <c r="B10" s="12" t="s">
        <v>12</v>
      </c>
      <c r="C10" s="13">
        <v>12000</v>
      </c>
      <c r="D10" s="13">
        <f t="shared" si="0"/>
        <v>1000</v>
      </c>
      <c r="E10" s="13">
        <f t="shared" si="1"/>
        <v>62.5</v>
      </c>
    </row>
    <row r="11" spans="2:9" ht="15" customHeight="1" x14ac:dyDescent="0.25">
      <c r="B11" s="12"/>
      <c r="C11" s="13"/>
      <c r="D11" s="13"/>
      <c r="E11" s="13"/>
    </row>
    <row r="12" spans="2:9" ht="15" customHeight="1" x14ac:dyDescent="0.25">
      <c r="B12" s="12"/>
      <c r="C12" s="13"/>
      <c r="D12" s="13"/>
      <c r="E12" s="13"/>
    </row>
    <row r="13" spans="2:9" ht="15" customHeight="1" x14ac:dyDescent="0.25">
      <c r="B13" s="12"/>
      <c r="C13" s="13"/>
      <c r="D13" s="13"/>
      <c r="E13" s="13"/>
    </row>
    <row r="14" spans="2:9" ht="15" customHeight="1" x14ac:dyDescent="0.25">
      <c r="B14" s="12"/>
      <c r="C14" s="13"/>
      <c r="D14" s="13"/>
      <c r="E14" s="13"/>
    </row>
    <row r="15" spans="2:9" ht="15" customHeight="1" x14ac:dyDescent="0.25">
      <c r="B15" s="12"/>
      <c r="C15" s="13"/>
      <c r="D15" s="13"/>
      <c r="E15" s="13"/>
    </row>
    <row r="16" spans="2:9" ht="15" customHeight="1" x14ac:dyDescent="0.25">
      <c r="B16" s="12"/>
      <c r="C16" s="13"/>
      <c r="D16" s="13"/>
      <c r="E16" s="13"/>
    </row>
    <row r="17" spans="2:5" ht="15" customHeight="1" x14ac:dyDescent="0.25">
      <c r="B17" s="12"/>
      <c r="C17" s="13"/>
      <c r="D17" s="13"/>
      <c r="E17" s="13"/>
    </row>
    <row r="18" spans="2:5" ht="15" customHeight="1" x14ac:dyDescent="0.25">
      <c r="B18" s="12"/>
      <c r="C18" s="13"/>
      <c r="D18" s="13"/>
      <c r="E18" s="13"/>
    </row>
    <row r="19" spans="2:5" ht="15" customHeight="1" x14ac:dyDescent="0.25">
      <c r="B19" s="12" t="s">
        <v>13</v>
      </c>
      <c r="C19" s="13">
        <f>SUM(C4:C18)</f>
        <v>407000</v>
      </c>
      <c r="D19" s="13">
        <f>SUM(D4:D18)</f>
        <v>33916.666666666664</v>
      </c>
      <c r="E19" s="13">
        <f>+D19/$I$2</f>
        <v>2119.7916666666665</v>
      </c>
    </row>
    <row r="21" spans="2:5" ht="15" customHeight="1" x14ac:dyDescent="0.25">
      <c r="B21" s="14" t="s">
        <v>14</v>
      </c>
    </row>
  </sheetData>
  <mergeCells count="1">
    <mergeCell ref="B1:E1"/>
  </mergeCells>
  <pageMargins left="0.7" right="0.7" top="0.75" bottom="0.75" header="0.511811023622047" footer="0.511811023622047"/>
  <pageSetup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8"/>
  <sheetViews>
    <sheetView zoomScale="115" zoomScaleNormal="115" workbookViewId="0">
      <selection activeCell="L9" sqref="L9"/>
    </sheetView>
  </sheetViews>
  <sheetFormatPr baseColWidth="10" defaultColWidth="10.7109375" defaultRowHeight="15" x14ac:dyDescent="0.25"/>
  <cols>
    <col min="2" max="2" width="44.5703125" style="15" customWidth="1"/>
    <col min="3" max="3" width="9" customWidth="1"/>
    <col min="4" max="4" width="15" style="7" customWidth="1"/>
    <col min="5" max="5" width="18" style="7" customWidth="1"/>
    <col min="6" max="6" width="34" customWidth="1"/>
    <col min="7" max="7" width="19" customWidth="1"/>
    <col min="9" max="9" width="28.42578125" customWidth="1"/>
  </cols>
  <sheetData>
    <row r="1" spans="2:10" ht="15" customHeight="1" x14ac:dyDescent="0.25">
      <c r="B1" s="4" t="s">
        <v>15</v>
      </c>
      <c r="C1" s="4"/>
      <c r="D1" s="4"/>
      <c r="E1" s="4"/>
    </row>
    <row r="2" spans="2:10" ht="27.75" customHeight="1" x14ac:dyDescent="0.25">
      <c r="B2" s="16" t="s">
        <v>1</v>
      </c>
      <c r="C2" s="16" t="s">
        <v>16</v>
      </c>
      <c r="D2" s="17" t="s">
        <v>17</v>
      </c>
      <c r="E2" s="17" t="s">
        <v>18</v>
      </c>
      <c r="F2" s="17" t="s">
        <v>19</v>
      </c>
      <c r="G2" s="17" t="s">
        <v>20</v>
      </c>
      <c r="I2" s="18" t="s">
        <v>21</v>
      </c>
      <c r="J2" s="11">
        <f>Notas!B4</f>
        <v>15</v>
      </c>
    </row>
    <row r="3" spans="2:10" ht="15" customHeight="1" x14ac:dyDescent="0.25">
      <c r="B3" s="19" t="s">
        <v>22</v>
      </c>
      <c r="C3" s="11">
        <v>500</v>
      </c>
      <c r="D3" s="20">
        <f>+G3*Notas!$B$3</f>
        <v>22200</v>
      </c>
      <c r="E3" s="20">
        <f>+C3*D3</f>
        <v>11100000</v>
      </c>
      <c r="F3" s="19" t="s">
        <v>23</v>
      </c>
      <c r="G3" s="20">
        <v>1200</v>
      </c>
      <c r="I3" s="18" t="s">
        <v>24</v>
      </c>
      <c r="J3" s="11">
        <f>Notas!B5</f>
        <v>7</v>
      </c>
    </row>
    <row r="4" spans="2:10" ht="30" customHeight="1" x14ac:dyDescent="0.25">
      <c r="B4" s="19" t="s">
        <v>25</v>
      </c>
      <c r="C4" s="11">
        <v>500</v>
      </c>
      <c r="D4" s="20">
        <f>+G4*Notas!$B$3</f>
        <v>2775</v>
      </c>
      <c r="E4" s="20">
        <f>+C4*D4</f>
        <v>1387500</v>
      </c>
      <c r="F4" s="19" t="s">
        <v>26</v>
      </c>
      <c r="G4" s="20">
        <v>150</v>
      </c>
    </row>
    <row r="5" spans="2:10" ht="15" customHeight="1" x14ac:dyDescent="0.25">
      <c r="B5" s="19" t="s">
        <v>27</v>
      </c>
      <c r="C5" s="11">
        <v>50</v>
      </c>
      <c r="D5" s="20">
        <f>+G5*Notas!$B$3</f>
        <v>18500</v>
      </c>
      <c r="E5" s="20">
        <f>+C5*D5</f>
        <v>925000</v>
      </c>
      <c r="F5" s="19" t="s">
        <v>23</v>
      </c>
      <c r="G5" s="20">
        <v>1000</v>
      </c>
    </row>
    <row r="6" spans="2:10" ht="30" customHeight="1" x14ac:dyDescent="0.25">
      <c r="B6" s="19" t="s">
        <v>28</v>
      </c>
      <c r="C6" s="11">
        <v>50</v>
      </c>
      <c r="D6" s="20">
        <f>+G6*Notas!$B$3</f>
        <v>4884</v>
      </c>
      <c r="E6" s="20">
        <f>+C6*D6</f>
        <v>244200</v>
      </c>
      <c r="F6" s="19" t="s">
        <v>29</v>
      </c>
      <c r="G6" s="20">
        <v>264</v>
      </c>
    </row>
    <row r="7" spans="2:10" ht="15" customHeight="1" x14ac:dyDescent="0.25">
      <c r="B7" s="19" t="s">
        <v>30</v>
      </c>
      <c r="C7" s="11">
        <v>1</v>
      </c>
      <c r="D7" s="20">
        <f>+G7*Notas!$B$3</f>
        <v>55500</v>
      </c>
      <c r="E7" s="20">
        <f>+C7*D7*$J$2</f>
        <v>832500</v>
      </c>
      <c r="F7" s="19" t="s">
        <v>31</v>
      </c>
      <c r="G7" s="20">
        <v>3000</v>
      </c>
    </row>
    <row r="8" spans="2:10" ht="27.75" customHeight="1" x14ac:dyDescent="0.25">
      <c r="B8" s="19" t="s">
        <v>32</v>
      </c>
      <c r="C8" s="11">
        <f>J3</f>
        <v>7</v>
      </c>
      <c r="D8" s="20">
        <f>+G8*Notas!$B$3</f>
        <v>18500</v>
      </c>
      <c r="E8" s="20">
        <f>+C8*D8</f>
        <v>129500</v>
      </c>
      <c r="F8" s="19" t="s">
        <v>33</v>
      </c>
      <c r="G8" s="20">
        <v>1000</v>
      </c>
    </row>
    <row r="9" spans="2:10" ht="27.75" customHeight="1" x14ac:dyDescent="0.25">
      <c r="B9" s="19" t="s">
        <v>34</v>
      </c>
      <c r="C9" s="11">
        <v>1</v>
      </c>
      <c r="D9" s="20">
        <f>+G9*Notas!$B$3</f>
        <v>185000</v>
      </c>
      <c r="E9" s="20">
        <f>+C9*D9</f>
        <v>185000</v>
      </c>
      <c r="F9" s="19" t="s">
        <v>35</v>
      </c>
      <c r="G9" s="20">
        <v>10000</v>
      </c>
    </row>
    <row r="10" spans="2:10" ht="15" customHeight="1" x14ac:dyDescent="0.25">
      <c r="B10" s="21"/>
      <c r="C10" s="11"/>
      <c r="D10" s="20"/>
      <c r="E10" s="20"/>
    </row>
    <row r="11" spans="2:10" ht="15" customHeight="1" x14ac:dyDescent="0.25">
      <c r="B11" s="21"/>
      <c r="C11" s="11"/>
      <c r="D11" s="20"/>
      <c r="E11" s="20"/>
    </row>
    <row r="12" spans="2:10" ht="15" customHeight="1" x14ac:dyDescent="0.25">
      <c r="B12" s="21"/>
      <c r="C12" s="11"/>
      <c r="D12" s="20"/>
      <c r="E12" s="20"/>
    </row>
    <row r="13" spans="2:10" ht="15" customHeight="1" x14ac:dyDescent="0.25">
      <c r="B13" s="21"/>
      <c r="C13" s="11"/>
      <c r="D13" s="20"/>
      <c r="E13" s="20"/>
    </row>
    <row r="14" spans="2:10" ht="15" customHeight="1" x14ac:dyDescent="0.25">
      <c r="B14" s="21"/>
      <c r="C14" s="11"/>
      <c r="D14" s="20"/>
      <c r="E14" s="20"/>
    </row>
    <row r="15" spans="2:10" ht="15" customHeight="1" x14ac:dyDescent="0.25">
      <c r="B15" s="21"/>
      <c r="C15" s="11"/>
      <c r="D15" s="20"/>
      <c r="E15" s="20"/>
    </row>
    <row r="16" spans="2:10" ht="15" customHeight="1" x14ac:dyDescent="0.25">
      <c r="B16" s="21" t="s">
        <v>36</v>
      </c>
      <c r="C16" s="11"/>
      <c r="D16" s="20"/>
      <c r="E16" s="20">
        <f>SUM(E3:E15)</f>
        <v>14803700</v>
      </c>
      <c r="G16" s="20">
        <f>+E16/Notas!$B$3</f>
        <v>800200</v>
      </c>
    </row>
    <row r="18" spans="2:2" ht="15" customHeight="1" x14ac:dyDescent="0.25">
      <c r="B18" s="14" t="s">
        <v>37</v>
      </c>
    </row>
  </sheetData>
  <mergeCells count="1">
    <mergeCell ref="B1:E1"/>
  </mergeCells>
  <pageMargins left="0.7" right="0.7" top="0.75" bottom="0.75" header="0.511811023622047" footer="0.511811023622047"/>
  <pageSetup scale="61" fitToHeight="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20"/>
  <sheetViews>
    <sheetView zoomScaleNormal="100" workbookViewId="0">
      <selection activeCell="C4" sqref="C4"/>
    </sheetView>
  </sheetViews>
  <sheetFormatPr baseColWidth="10" defaultColWidth="10.7109375" defaultRowHeight="15" x14ac:dyDescent="0.25"/>
  <cols>
    <col min="2" max="2" width="34" customWidth="1"/>
    <col min="3" max="3" width="11.42578125" style="7" customWidth="1"/>
    <col min="4" max="4" width="14" customWidth="1"/>
    <col min="5" max="5" width="13.42578125" customWidth="1"/>
    <col min="6" max="6" width="14.140625" customWidth="1"/>
    <col min="7" max="7" width="16" customWidth="1"/>
    <col min="8" max="8" width="14" customWidth="1"/>
    <col min="9" max="9" width="44" customWidth="1"/>
  </cols>
  <sheetData>
    <row r="2" spans="2:9" ht="15" customHeight="1" x14ac:dyDescent="0.25">
      <c r="B2" s="6" t="s">
        <v>38</v>
      </c>
      <c r="C2" s="6"/>
      <c r="D2" s="6"/>
      <c r="E2" s="6"/>
      <c r="F2" s="6"/>
      <c r="G2" s="6"/>
    </row>
    <row r="3" spans="2:9" ht="27.75" customHeight="1" x14ac:dyDescent="0.25">
      <c r="B3" s="16" t="s">
        <v>39</v>
      </c>
      <c r="C3" s="17" t="s">
        <v>40</v>
      </c>
      <c r="D3" s="16" t="s">
        <v>41</v>
      </c>
      <c r="E3" s="16" t="s">
        <v>42</v>
      </c>
      <c r="F3" s="16" t="s">
        <v>43</v>
      </c>
      <c r="G3" s="16" t="s">
        <v>44</v>
      </c>
      <c r="H3" s="16" t="s">
        <v>45</v>
      </c>
      <c r="I3" s="16" t="s">
        <v>46</v>
      </c>
    </row>
    <row r="4" spans="2:9" ht="15" customHeight="1" x14ac:dyDescent="0.25">
      <c r="B4" s="19" t="s">
        <v>47</v>
      </c>
      <c r="C4" s="20">
        <f>Notas!$B$7*Notas!$B$8</f>
        <v>32000</v>
      </c>
      <c r="D4" s="11">
        <v>1</v>
      </c>
      <c r="E4" s="20">
        <f t="shared" ref="E4:E9" si="0">+D4*C4</f>
        <v>32000</v>
      </c>
      <c r="F4" s="20">
        <f t="shared" ref="F4:F9" si="1">+E4*G4</f>
        <v>169600</v>
      </c>
      <c r="G4" s="22">
        <v>5.3</v>
      </c>
      <c r="H4" s="22">
        <f t="shared" ref="H4:H9" si="2">+D4*G4</f>
        <v>5.3</v>
      </c>
      <c r="I4" s="11" t="s">
        <v>48</v>
      </c>
    </row>
    <row r="5" spans="2:9" ht="15" customHeight="1" x14ac:dyDescent="0.25">
      <c r="B5" s="19" t="s">
        <v>49</v>
      </c>
      <c r="C5" s="20">
        <f>Notas!$B$7*Notas!$B$8</f>
        <v>32000</v>
      </c>
      <c r="D5" s="11">
        <v>1</v>
      </c>
      <c r="E5" s="20">
        <f t="shared" si="0"/>
        <v>32000</v>
      </c>
      <c r="F5" s="20">
        <f t="shared" si="1"/>
        <v>172800</v>
      </c>
      <c r="G5" s="22">
        <v>5.4</v>
      </c>
      <c r="H5" s="22">
        <f t="shared" si="2"/>
        <v>5.4</v>
      </c>
      <c r="I5" s="11" t="s">
        <v>50</v>
      </c>
    </row>
    <row r="6" spans="2:9" ht="15" customHeight="1" x14ac:dyDescent="0.25">
      <c r="B6" s="19" t="s">
        <v>51</v>
      </c>
      <c r="C6" s="20">
        <f>Notas!$B$7*Notas!$B$8</f>
        <v>32000</v>
      </c>
      <c r="D6" s="11">
        <v>1</v>
      </c>
      <c r="E6" s="20">
        <f t="shared" si="0"/>
        <v>32000</v>
      </c>
      <c r="F6" s="20">
        <f t="shared" si="1"/>
        <v>291200</v>
      </c>
      <c r="G6" s="22">
        <v>9.1</v>
      </c>
      <c r="H6" s="22">
        <f t="shared" si="2"/>
        <v>9.1</v>
      </c>
      <c r="I6" s="11" t="s">
        <v>52</v>
      </c>
    </row>
    <row r="7" spans="2:9" ht="15" customHeight="1" x14ac:dyDescent="0.25">
      <c r="B7" s="19" t="s">
        <v>53</v>
      </c>
      <c r="C7" s="20">
        <f>Notas!$B$7*Notas!$B$8</f>
        <v>32000</v>
      </c>
      <c r="D7" s="11">
        <v>2</v>
      </c>
      <c r="E7" s="20">
        <f t="shared" si="0"/>
        <v>64000</v>
      </c>
      <c r="F7" s="20">
        <f t="shared" si="1"/>
        <v>412800</v>
      </c>
      <c r="G7" s="22">
        <v>6.45</v>
      </c>
      <c r="H7" s="22">
        <f t="shared" si="2"/>
        <v>12.9</v>
      </c>
      <c r="I7" s="11" t="s">
        <v>54</v>
      </c>
    </row>
    <row r="8" spans="2:9" ht="15" customHeight="1" x14ac:dyDescent="0.25">
      <c r="B8" s="19" t="s">
        <v>55</v>
      </c>
      <c r="C8" s="20">
        <f>Notas!$B$7*Notas!$B$8</f>
        <v>32000</v>
      </c>
      <c r="D8" s="11">
        <v>1</v>
      </c>
      <c r="E8" s="20">
        <f t="shared" si="0"/>
        <v>32000</v>
      </c>
      <c r="F8" s="20">
        <f t="shared" si="1"/>
        <v>313600</v>
      </c>
      <c r="G8" s="22">
        <v>9.8000000000000007</v>
      </c>
      <c r="H8" s="22">
        <f t="shared" si="2"/>
        <v>9.8000000000000007</v>
      </c>
      <c r="I8" s="11" t="s">
        <v>56</v>
      </c>
    </row>
    <row r="9" spans="2:9" ht="15" customHeight="1" x14ac:dyDescent="0.25">
      <c r="B9" s="19" t="s">
        <v>57</v>
      </c>
      <c r="C9" s="20">
        <f>Notas!$B$7*Notas!$B$8</f>
        <v>32000</v>
      </c>
      <c r="D9" s="11">
        <v>1</v>
      </c>
      <c r="E9" s="20">
        <f t="shared" si="0"/>
        <v>32000</v>
      </c>
      <c r="F9" s="20">
        <f t="shared" si="1"/>
        <v>176000</v>
      </c>
      <c r="G9" s="22">
        <v>5.5</v>
      </c>
      <c r="H9" s="22">
        <f t="shared" si="2"/>
        <v>5.5</v>
      </c>
      <c r="I9" s="11" t="s">
        <v>58</v>
      </c>
    </row>
    <row r="10" spans="2:9" ht="15" customHeight="1" x14ac:dyDescent="0.25">
      <c r="B10" s="19"/>
      <c r="C10" s="20"/>
      <c r="D10" s="11"/>
      <c r="E10" s="20"/>
      <c r="F10" s="20"/>
      <c r="G10" s="22"/>
      <c r="H10" s="22"/>
    </row>
    <row r="11" spans="2:9" ht="15" customHeight="1" x14ac:dyDescent="0.25">
      <c r="B11" s="19"/>
      <c r="C11" s="20"/>
      <c r="D11" s="11"/>
      <c r="E11" s="20"/>
      <c r="F11" s="20"/>
      <c r="G11" s="22"/>
      <c r="H11" s="22"/>
    </row>
    <row r="12" spans="2:9" ht="15" customHeight="1" x14ac:dyDescent="0.25">
      <c r="B12" s="19"/>
      <c r="C12" s="20"/>
      <c r="D12" s="11"/>
      <c r="E12" s="20"/>
      <c r="F12" s="20"/>
      <c r="G12" s="22"/>
      <c r="H12" s="22"/>
    </row>
    <row r="13" spans="2:9" ht="15" customHeight="1" x14ac:dyDescent="0.25">
      <c r="B13" s="19"/>
      <c r="C13" s="20"/>
      <c r="D13" s="11"/>
      <c r="E13" s="20"/>
      <c r="F13" s="20"/>
      <c r="G13" s="22"/>
      <c r="H13" s="22"/>
    </row>
    <row r="14" spans="2:9" ht="15" customHeight="1" x14ac:dyDescent="0.25">
      <c r="B14" s="11"/>
      <c r="C14" s="20"/>
      <c r="D14" s="11"/>
      <c r="E14" s="11"/>
      <c r="F14" s="11"/>
      <c r="G14" s="23"/>
    </row>
    <row r="15" spans="2:9" ht="15" customHeight="1" x14ac:dyDescent="0.25">
      <c r="B15" s="11"/>
      <c r="C15" s="20"/>
      <c r="D15" s="11"/>
      <c r="E15" s="11"/>
      <c r="F15" s="11"/>
      <c r="G15" s="23"/>
    </row>
    <row r="16" spans="2:9" ht="15" customHeight="1" x14ac:dyDescent="0.25">
      <c r="B16" s="11"/>
      <c r="C16" s="20"/>
      <c r="D16" s="11"/>
      <c r="E16" s="11"/>
      <c r="F16" s="11"/>
      <c r="G16" s="23"/>
    </row>
    <row r="17" spans="2:8" ht="15" customHeight="1" x14ac:dyDescent="0.25">
      <c r="B17" s="11"/>
      <c r="C17" s="20"/>
      <c r="D17" s="11"/>
      <c r="E17" s="11"/>
      <c r="F17" s="11"/>
      <c r="G17" s="23"/>
    </row>
    <row r="18" spans="2:8" ht="15" customHeight="1" x14ac:dyDescent="0.25">
      <c r="B18" s="11" t="s">
        <v>36</v>
      </c>
      <c r="C18" s="20"/>
      <c r="D18" s="24">
        <f>SUM(D4:D17)</f>
        <v>7</v>
      </c>
      <c r="E18" s="20">
        <f>SUM(E4:E17)</f>
        <v>224000</v>
      </c>
      <c r="F18" s="20">
        <f>SUM(F4:F17)</f>
        <v>1536000</v>
      </c>
      <c r="G18" s="20"/>
      <c r="H18" s="25">
        <f>SUM(H4:H17)</f>
        <v>48</v>
      </c>
    </row>
    <row r="20" spans="2:8" ht="15" customHeight="1" x14ac:dyDescent="0.25">
      <c r="B20" s="14" t="s">
        <v>59</v>
      </c>
    </row>
  </sheetData>
  <mergeCells count="1">
    <mergeCell ref="B2:G2"/>
  </mergeCells>
  <pageMargins left="0.7" right="0.7" top="0.75" bottom="0.75" header="0.511811023622047" footer="0.511811023622047"/>
  <pageSetup scale="71" fitToHeight="0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F12"/>
  <sheetViews>
    <sheetView zoomScaleNormal="100" workbookViewId="0">
      <selection activeCell="C4" sqref="C4"/>
    </sheetView>
  </sheetViews>
  <sheetFormatPr baseColWidth="10" defaultColWidth="10.7109375" defaultRowHeight="15" x14ac:dyDescent="0.25"/>
  <cols>
    <col min="2" max="2" width="46" customWidth="1"/>
    <col min="3" max="3" width="10" customWidth="1"/>
    <col min="4" max="4" width="13.5703125" style="7" bestFit="1" customWidth="1"/>
    <col min="5" max="5" width="13" style="7" bestFit="1" customWidth="1"/>
    <col min="6" max="6" width="19" customWidth="1"/>
  </cols>
  <sheetData>
    <row r="2" spans="2:6" ht="15" customHeight="1" x14ac:dyDescent="0.25">
      <c r="B2" s="5" t="s">
        <v>60</v>
      </c>
      <c r="C2" s="5"/>
      <c r="D2" s="5"/>
      <c r="E2" s="5"/>
    </row>
    <row r="3" spans="2:6" ht="15" customHeight="1" x14ac:dyDescent="0.25">
      <c r="B3" s="18" t="s">
        <v>1</v>
      </c>
      <c r="C3" s="18" t="s">
        <v>61</v>
      </c>
      <c r="D3" s="26" t="s">
        <v>62</v>
      </c>
      <c r="E3" s="26" t="s">
        <v>63</v>
      </c>
      <c r="F3" s="26" t="s">
        <v>64</v>
      </c>
    </row>
    <row r="4" spans="2:6" ht="15" customHeight="1" x14ac:dyDescent="0.25">
      <c r="B4" s="19" t="s">
        <v>65</v>
      </c>
      <c r="C4" s="11">
        <v>1</v>
      </c>
      <c r="D4" s="20">
        <f>+F4*Notas!$B$3</f>
        <v>370000</v>
      </c>
      <c r="E4" s="20">
        <f>+D4*C4</f>
        <v>370000</v>
      </c>
      <c r="F4" s="20">
        <v>20000</v>
      </c>
    </row>
    <row r="5" spans="2:6" ht="15" customHeight="1" x14ac:dyDescent="0.25">
      <c r="B5" s="19" t="s">
        <v>66</v>
      </c>
      <c r="C5" s="11">
        <v>1</v>
      </c>
      <c r="D5" s="20">
        <f>+F5*Notas!$B$3</f>
        <v>185000</v>
      </c>
      <c r="E5" s="20">
        <f>+D5*C5</f>
        <v>185000</v>
      </c>
      <c r="F5" s="20">
        <v>10000</v>
      </c>
    </row>
    <row r="6" spans="2:6" ht="15" customHeight="1" x14ac:dyDescent="0.25">
      <c r="B6" s="11"/>
      <c r="C6" s="11"/>
      <c r="D6" s="20"/>
      <c r="E6" s="20"/>
    </row>
    <row r="7" spans="2:6" ht="15" customHeight="1" x14ac:dyDescent="0.25">
      <c r="B7" s="11"/>
      <c r="C7" s="11"/>
      <c r="D7" s="20"/>
      <c r="E7" s="20"/>
    </row>
    <row r="8" spans="2:6" ht="15" customHeight="1" x14ac:dyDescent="0.25">
      <c r="B8" s="11"/>
      <c r="C8" s="11"/>
      <c r="D8" s="20"/>
      <c r="E8" s="20"/>
    </row>
    <row r="9" spans="2:6" ht="15" customHeight="1" x14ac:dyDescent="0.25">
      <c r="B9" s="11"/>
      <c r="C9" s="11"/>
      <c r="D9" s="20"/>
      <c r="E9" s="20"/>
    </row>
    <row r="10" spans="2:6" ht="15" customHeight="1" x14ac:dyDescent="0.25">
      <c r="B10" s="11" t="s">
        <v>36</v>
      </c>
      <c r="C10" s="11"/>
      <c r="D10" s="20"/>
      <c r="E10" s="20">
        <f>SUM(E4:E9)</f>
        <v>555000</v>
      </c>
      <c r="F10" s="20">
        <f>+E10/Notas!$B$3</f>
        <v>30000</v>
      </c>
    </row>
    <row r="12" spans="2:6" ht="23.25" customHeight="1" x14ac:dyDescent="0.25">
      <c r="B12" s="3" t="s">
        <v>67</v>
      </c>
      <c r="C12" s="3"/>
      <c r="D12" s="3"/>
      <c r="E12" s="3"/>
      <c r="F12" s="3"/>
    </row>
  </sheetData>
  <mergeCells count="2">
    <mergeCell ref="B2:E2"/>
    <mergeCell ref="B12:F12"/>
  </mergeCells>
  <pageMargins left="0.7" right="0.7" top="0.75" bottom="0.75" header="0.511811023622047" footer="0.511811023622047"/>
  <pageSetup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E18"/>
  <sheetViews>
    <sheetView zoomScaleNormal="100" workbookViewId="0">
      <selection activeCell="B13" sqref="B13"/>
    </sheetView>
  </sheetViews>
  <sheetFormatPr baseColWidth="10" defaultColWidth="10.7109375" defaultRowHeight="15" x14ac:dyDescent="0.25"/>
  <cols>
    <col min="2" max="2" width="42.28515625" bestFit="1" customWidth="1"/>
    <col min="3" max="3" width="22.28515625" style="7" bestFit="1" customWidth="1"/>
    <col min="4" max="4" width="18" customWidth="1"/>
    <col min="5" max="5" width="62" customWidth="1"/>
  </cols>
  <sheetData>
    <row r="2" spans="2:5" ht="15" customHeight="1" x14ac:dyDescent="0.25">
      <c r="B2" s="2" t="s">
        <v>68</v>
      </c>
      <c r="C2" s="2"/>
    </row>
    <row r="3" spans="2:5" ht="15" customHeight="1" x14ac:dyDescent="0.25">
      <c r="B3" s="18" t="s">
        <v>69</v>
      </c>
      <c r="C3" s="26" t="s">
        <v>62</v>
      </c>
      <c r="D3" s="26" t="s">
        <v>64</v>
      </c>
      <c r="E3" s="26" t="s">
        <v>70</v>
      </c>
    </row>
    <row r="4" spans="2:5" ht="15" customHeight="1" x14ac:dyDescent="0.25">
      <c r="B4" s="11" t="s">
        <v>71</v>
      </c>
      <c r="C4" s="20">
        <f>+'Costos Indirectos'!E19*Sueldos!H18</f>
        <v>101750</v>
      </c>
      <c r="D4" s="20">
        <f>+C4/Notas!$B$3</f>
        <v>5500</v>
      </c>
      <c r="E4" s="19" t="s">
        <v>72</v>
      </c>
    </row>
    <row r="5" spans="2:5" ht="15" customHeight="1" x14ac:dyDescent="0.25">
      <c r="B5" s="11" t="s">
        <v>15</v>
      </c>
      <c r="C5" s="20">
        <f>+'Hw&amp;SW'!E16</f>
        <v>14803700</v>
      </c>
      <c r="D5" s="20">
        <f>+C5/Notas!$B$3</f>
        <v>800200</v>
      </c>
      <c r="E5" s="19" t="s">
        <v>73</v>
      </c>
    </row>
    <row r="6" spans="2:5" ht="15" customHeight="1" x14ac:dyDescent="0.25">
      <c r="B6" s="11" t="s">
        <v>38</v>
      </c>
      <c r="C6" s="20">
        <f>+Sueldos!F18</f>
        <v>1536000</v>
      </c>
      <c r="D6" s="20">
        <f>+C6/Notas!$B$3</f>
        <v>83027.027027027027</v>
      </c>
      <c r="E6" s="19" t="s">
        <v>74</v>
      </c>
    </row>
    <row r="7" spans="2:5" ht="15" customHeight="1" x14ac:dyDescent="0.25">
      <c r="B7" s="11" t="s">
        <v>75</v>
      </c>
      <c r="C7" s="20">
        <f>+Otros!E10</f>
        <v>555000</v>
      </c>
      <c r="D7" s="20">
        <f>+C7/Notas!$B$3</f>
        <v>30000</v>
      </c>
      <c r="E7" s="19" t="s">
        <v>76</v>
      </c>
    </row>
    <row r="8" spans="2:5" ht="15" customHeight="1" x14ac:dyDescent="0.25">
      <c r="B8" s="24" t="s">
        <v>77</v>
      </c>
      <c r="C8" s="27">
        <f>SUM(C4:C7)</f>
        <v>16996450</v>
      </c>
      <c r="D8" s="27">
        <f>+C8/Notas!$B$3</f>
        <v>918727.02702702698</v>
      </c>
      <c r="E8" s="19" t="s">
        <v>78</v>
      </c>
    </row>
    <row r="9" spans="2:5" ht="15" customHeight="1" x14ac:dyDescent="0.25">
      <c r="B9" s="11" t="s">
        <v>79</v>
      </c>
      <c r="C9" s="20">
        <f>+C8*0.1</f>
        <v>1699645</v>
      </c>
      <c r="D9" s="20">
        <f>+C9/Notas!$B$3</f>
        <v>91872.702702702707</v>
      </c>
      <c r="E9" s="19" t="s">
        <v>80</v>
      </c>
    </row>
    <row r="10" spans="2:5" ht="15" customHeight="1" x14ac:dyDescent="0.25">
      <c r="B10" s="24" t="s">
        <v>81</v>
      </c>
      <c r="C10" s="27">
        <f>+C8+C9</f>
        <v>18696095</v>
      </c>
      <c r="D10" s="27">
        <f>+C10/Notas!$B$3</f>
        <v>1010599.7297297297</v>
      </c>
      <c r="E10" s="19" t="s">
        <v>82</v>
      </c>
    </row>
    <row r="11" spans="2:5" ht="27.75" customHeight="1" x14ac:dyDescent="0.25">
      <c r="B11" s="11" t="s">
        <v>83</v>
      </c>
      <c r="C11" s="20">
        <f>+C12-C10</f>
        <v>18303905</v>
      </c>
      <c r="D11" s="20">
        <f>+C11/Notas!$B$3</f>
        <v>989400.2702702703</v>
      </c>
      <c r="E11" s="19" t="s">
        <v>84</v>
      </c>
    </row>
    <row r="12" spans="2:5" ht="15" customHeight="1" x14ac:dyDescent="0.25">
      <c r="B12" s="24" t="s">
        <v>85</v>
      </c>
      <c r="C12" s="27">
        <f>2000000*Notas!$B$3</f>
        <v>37000000</v>
      </c>
      <c r="D12" s="27">
        <f>+C12/Notas!$B$3</f>
        <v>2000000</v>
      </c>
      <c r="E12" s="19" t="s">
        <v>86</v>
      </c>
    </row>
    <row r="13" spans="2:5" ht="15" customHeight="1" x14ac:dyDescent="0.25">
      <c r="B13" s="11" t="s">
        <v>87</v>
      </c>
      <c r="C13" s="28" t="str">
        <f>IF(C10&lt;=C12,"Dentro del presupuesto","Excede el presupuesto")</f>
        <v>Dentro del presupuesto</v>
      </c>
      <c r="D13" s="11" t="str">
        <f>IF(C10&lt;=C12,"Margen: "&amp;TEXT((C12-C10)/Notas!$B$3,"$#,##0")&amp;" USD","")</f>
        <v>Margen: $989,400 USD</v>
      </c>
      <c r="E13" s="19" t="s">
        <v>88</v>
      </c>
    </row>
    <row r="15" spans="2:5" ht="43.5" customHeight="1" x14ac:dyDescent="0.25">
      <c r="B15" s="3" t="s">
        <v>89</v>
      </c>
      <c r="C15" s="3"/>
      <c r="D15" s="3"/>
      <c r="E15" s="3"/>
    </row>
    <row r="17" spans="2:4" ht="15" customHeight="1" x14ac:dyDescent="0.25">
      <c r="B17" t="s">
        <v>90</v>
      </c>
      <c r="C17" s="22">
        <f>Sueldos!H18</f>
        <v>48</v>
      </c>
      <c r="D17" s="20"/>
    </row>
    <row r="18" spans="2:4" x14ac:dyDescent="0.25">
      <c r="B18" t="s">
        <v>91</v>
      </c>
      <c r="C18" s="22">
        <f>Notas!B4</f>
        <v>15</v>
      </c>
    </row>
  </sheetData>
  <mergeCells count="2">
    <mergeCell ref="B2:C2"/>
    <mergeCell ref="B15:E15"/>
  </mergeCells>
  <pageMargins left="0.7" right="0.7" top="0.75" bottom="0.75" header="0.511811023622047" footer="0.511811023622047"/>
  <pageSetup scale="78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7"/>
  <sheetViews>
    <sheetView zoomScaleNormal="100" workbookViewId="0"/>
  </sheetViews>
  <sheetFormatPr baseColWidth="10" defaultColWidth="8.7109375" defaultRowHeight="15" x14ac:dyDescent="0.25"/>
  <cols>
    <col min="1" max="1" width="46" customWidth="1"/>
    <col min="2" max="2" width="18" customWidth="1"/>
    <col min="3" max="3" width="86" customWidth="1"/>
  </cols>
  <sheetData>
    <row r="1" spans="1:3" ht="15.75" customHeight="1" x14ac:dyDescent="0.3">
      <c r="A1" s="29" t="s">
        <v>92</v>
      </c>
    </row>
    <row r="2" spans="1:3" ht="15" customHeight="1" x14ac:dyDescent="0.25">
      <c r="A2" s="30" t="s">
        <v>93</v>
      </c>
    </row>
    <row r="3" spans="1:3" ht="15" customHeight="1" x14ac:dyDescent="0.25">
      <c r="A3" t="s">
        <v>94</v>
      </c>
      <c r="B3" s="31">
        <v>18.5</v>
      </c>
      <c r="C3" s="32" t="s">
        <v>95</v>
      </c>
    </row>
    <row r="4" spans="1:3" ht="15" customHeight="1" x14ac:dyDescent="0.25">
      <c r="A4" t="s">
        <v>91</v>
      </c>
      <c r="B4" s="31">
        <v>15</v>
      </c>
      <c r="C4" s="32" t="s">
        <v>96</v>
      </c>
    </row>
    <row r="5" spans="1:3" ht="15" customHeight="1" x14ac:dyDescent="0.25">
      <c r="A5" t="s">
        <v>97</v>
      </c>
      <c r="B5" s="31">
        <f>Sueldos!D18</f>
        <v>7</v>
      </c>
      <c r="C5" s="32" t="s">
        <v>98</v>
      </c>
    </row>
    <row r="6" spans="1:3" ht="15" customHeight="1" x14ac:dyDescent="0.25">
      <c r="A6" t="s">
        <v>99</v>
      </c>
      <c r="B6" s="33">
        <f>Sueldos!H18</f>
        <v>48</v>
      </c>
      <c r="C6" s="32" t="s">
        <v>100</v>
      </c>
    </row>
    <row r="7" spans="1:3" ht="15" customHeight="1" x14ac:dyDescent="0.25">
      <c r="A7" t="s">
        <v>101</v>
      </c>
      <c r="B7" s="31">
        <v>200</v>
      </c>
      <c r="C7" s="32" t="s">
        <v>102</v>
      </c>
    </row>
    <row r="8" spans="1:3" ht="15" customHeight="1" x14ac:dyDescent="0.25">
      <c r="A8" t="s">
        <v>103</v>
      </c>
      <c r="B8" s="31">
        <v>160</v>
      </c>
      <c r="C8" s="32" t="s">
        <v>104</v>
      </c>
    </row>
    <row r="10" spans="1:3" ht="15" customHeight="1" x14ac:dyDescent="0.25">
      <c r="A10" s="30" t="s">
        <v>105</v>
      </c>
    </row>
    <row r="11" spans="1:3" ht="42" customHeight="1" x14ac:dyDescent="0.25">
      <c r="A11" s="1" t="s">
        <v>106</v>
      </c>
      <c r="B11" s="1"/>
      <c r="C11" s="1"/>
    </row>
    <row r="12" spans="1:3" ht="42" customHeight="1" x14ac:dyDescent="0.25">
      <c r="A12" s="1" t="s">
        <v>107</v>
      </c>
      <c r="B12" s="1"/>
      <c r="C12" s="1"/>
    </row>
    <row r="13" spans="1:3" ht="42" customHeight="1" x14ac:dyDescent="0.25">
      <c r="A13" s="1" t="s">
        <v>108</v>
      </c>
      <c r="B13" s="1"/>
      <c r="C13" s="1"/>
    </row>
    <row r="14" spans="1:3" ht="42" customHeight="1" x14ac:dyDescent="0.25">
      <c r="A14" s="1" t="s">
        <v>109</v>
      </c>
      <c r="B14" s="1"/>
      <c r="C14" s="1"/>
    </row>
    <row r="15" spans="1:3" ht="42" customHeight="1" x14ac:dyDescent="0.25">
      <c r="A15" s="1" t="s">
        <v>110</v>
      </c>
      <c r="B15" s="1"/>
      <c r="C15" s="1"/>
    </row>
    <row r="16" spans="1:3" ht="42" customHeight="1" x14ac:dyDescent="0.25">
      <c r="A16" s="1" t="s">
        <v>111</v>
      </c>
      <c r="B16" s="1"/>
      <c r="C16" s="1"/>
    </row>
    <row r="17" spans="1:1" ht="75" x14ac:dyDescent="0.25">
      <c r="A17" s="32" t="s">
        <v>112</v>
      </c>
    </row>
  </sheetData>
  <mergeCells count="6">
    <mergeCell ref="A16:C16"/>
    <mergeCell ref="A11:C11"/>
    <mergeCell ref="A12:C12"/>
    <mergeCell ref="A13:C13"/>
    <mergeCell ref="A14:C14"/>
    <mergeCell ref="A15:C15"/>
  </mergeCells>
  <pageMargins left="0.75" right="0.75" top="1" bottom="1" header="0.511811023622047" footer="0.511811023622047"/>
  <pageSetup scale="80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zoomScaleNormal="100" workbookViewId="0">
      <selection activeCell="J32" sqref="J32"/>
    </sheetView>
  </sheetViews>
  <sheetFormatPr baseColWidth="10" defaultColWidth="8.7109375" defaultRowHeight="15" x14ac:dyDescent="0.25"/>
  <cols>
    <col min="1" max="1" width="34" customWidth="1"/>
    <col min="2" max="4" width="14" customWidth="1"/>
    <col min="5" max="5" width="20" customWidth="1"/>
    <col min="6" max="6" width="22" customWidth="1"/>
    <col min="7" max="7" width="30" customWidth="1"/>
  </cols>
  <sheetData>
    <row r="1" spans="1:7" ht="15.75" x14ac:dyDescent="0.25">
      <c r="A1" s="34" t="s">
        <v>113</v>
      </c>
    </row>
    <row r="2" spans="1:7" x14ac:dyDescent="0.25">
      <c r="A2" t="s">
        <v>114</v>
      </c>
    </row>
    <row r="4" spans="1:7" ht="28.5" x14ac:dyDescent="0.25">
      <c r="A4" s="35" t="s">
        <v>115</v>
      </c>
      <c r="B4" s="35" t="s">
        <v>45</v>
      </c>
      <c r="C4" s="35" t="s">
        <v>116</v>
      </c>
      <c r="D4" s="35" t="s">
        <v>71</v>
      </c>
      <c r="E4" s="35" t="s">
        <v>117</v>
      </c>
      <c r="F4" s="35" t="s">
        <v>118</v>
      </c>
    </row>
    <row r="5" spans="1:7" x14ac:dyDescent="0.25">
      <c r="A5" s="11" t="s">
        <v>119</v>
      </c>
      <c r="B5" s="22">
        <v>2.4</v>
      </c>
      <c r="C5" s="22">
        <v>1.5</v>
      </c>
      <c r="D5" s="22">
        <v>1.6</v>
      </c>
      <c r="E5" s="20">
        <v>77916</v>
      </c>
      <c r="F5" s="20">
        <f>B5*Notas!$B$7*Notas!$B$8</f>
        <v>76800</v>
      </c>
    </row>
    <row r="6" spans="1:7" x14ac:dyDescent="0.25">
      <c r="A6" s="11" t="s">
        <v>120</v>
      </c>
      <c r="B6" s="22">
        <v>9.6999999999999993</v>
      </c>
      <c r="C6" s="22">
        <v>4.5</v>
      </c>
      <c r="D6" s="22">
        <v>2.2000000000000002</v>
      </c>
      <c r="E6" s="20">
        <v>311666</v>
      </c>
      <c r="F6" s="20">
        <f>B6*Notas!$B$7*Notas!$B$8</f>
        <v>310399.99999999994</v>
      </c>
    </row>
    <row r="7" spans="1:7" x14ac:dyDescent="0.25">
      <c r="A7" s="11" t="s">
        <v>121</v>
      </c>
      <c r="B7" s="22">
        <v>30.8</v>
      </c>
      <c r="C7" s="22">
        <v>7.4</v>
      </c>
      <c r="D7" s="22">
        <v>4.0999999999999996</v>
      </c>
      <c r="E7" s="20">
        <v>986942</v>
      </c>
      <c r="F7" s="20">
        <f>B7*Notas!$B$7*Notas!$B$8</f>
        <v>985600</v>
      </c>
    </row>
    <row r="8" spans="1:7" x14ac:dyDescent="0.25">
      <c r="A8" s="11" t="s">
        <v>122</v>
      </c>
      <c r="B8" s="22">
        <v>4.9000000000000004</v>
      </c>
      <c r="C8" s="22">
        <v>1.5</v>
      </c>
      <c r="D8" s="22">
        <v>3.3</v>
      </c>
      <c r="E8" s="20">
        <v>155833</v>
      </c>
      <c r="F8" s="20">
        <f>B8*Notas!$B$7*Notas!$B$8</f>
        <v>156800.00000000003</v>
      </c>
    </row>
    <row r="9" spans="1:7" x14ac:dyDescent="0.25">
      <c r="A9" s="36" t="s">
        <v>13</v>
      </c>
      <c r="B9" s="36">
        <f>SUM(B5:B8)</f>
        <v>47.8</v>
      </c>
      <c r="C9" s="36">
        <f>SUM(C5:C8)</f>
        <v>14.9</v>
      </c>
      <c r="D9" s="36"/>
      <c r="E9" s="37">
        <f>SUM(E5:E8)</f>
        <v>1532357</v>
      </c>
      <c r="F9" s="37">
        <f>SUM(F5:F8)</f>
        <v>1529600</v>
      </c>
    </row>
    <row r="10" spans="1:7" x14ac:dyDescent="0.25">
      <c r="A10" t="s">
        <v>123</v>
      </c>
      <c r="B10" s="38">
        <f>B6+B7</f>
        <v>40.5</v>
      </c>
      <c r="C10" s="38">
        <f>C6+C7</f>
        <v>11.9</v>
      </c>
      <c r="D10" t="s">
        <v>124</v>
      </c>
    </row>
    <row r="12" spans="1:7" ht="28.5" x14ac:dyDescent="0.25">
      <c r="A12" s="35" t="s">
        <v>125</v>
      </c>
      <c r="B12" s="35" t="s">
        <v>119</v>
      </c>
      <c r="C12" s="35" t="s">
        <v>120</v>
      </c>
      <c r="D12" s="35" t="s">
        <v>121</v>
      </c>
      <c r="E12" s="35" t="s">
        <v>122</v>
      </c>
      <c r="F12" s="35" t="s">
        <v>126</v>
      </c>
      <c r="G12" s="35" t="s">
        <v>127</v>
      </c>
    </row>
    <row r="13" spans="1:7" x14ac:dyDescent="0.25">
      <c r="A13" s="11" t="s">
        <v>128</v>
      </c>
      <c r="B13" s="22">
        <v>0.3</v>
      </c>
      <c r="C13" s="22">
        <v>1.2</v>
      </c>
      <c r="D13" s="22">
        <v>3.1</v>
      </c>
      <c r="E13" s="22">
        <v>0.7</v>
      </c>
      <c r="F13" s="22">
        <f t="shared" ref="F13:F19" si="0">SUM(B13:E13)</f>
        <v>5.3</v>
      </c>
      <c r="G13" s="11" t="s">
        <v>47</v>
      </c>
    </row>
    <row r="14" spans="1:7" x14ac:dyDescent="0.25">
      <c r="A14" s="11" t="s">
        <v>129</v>
      </c>
      <c r="B14" s="22">
        <v>0.2</v>
      </c>
      <c r="C14" s="22">
        <v>0.8</v>
      </c>
      <c r="D14" s="22">
        <v>1.5</v>
      </c>
      <c r="E14" s="22">
        <v>0.2</v>
      </c>
      <c r="F14" s="22">
        <f t="shared" si="0"/>
        <v>2.7</v>
      </c>
      <c r="G14" s="11" t="s">
        <v>130</v>
      </c>
    </row>
    <row r="15" spans="1:7" x14ac:dyDescent="0.25">
      <c r="A15" s="11" t="s">
        <v>131</v>
      </c>
      <c r="B15" s="22">
        <v>0.9</v>
      </c>
      <c r="C15" s="22">
        <v>1.8</v>
      </c>
      <c r="D15" s="22">
        <v>2.5</v>
      </c>
      <c r="E15" s="22">
        <v>0.2</v>
      </c>
      <c r="F15" s="22">
        <f t="shared" si="0"/>
        <v>5.4</v>
      </c>
      <c r="G15" s="11" t="s">
        <v>49</v>
      </c>
    </row>
    <row r="16" spans="1:7" x14ac:dyDescent="0.25">
      <c r="A16" s="11" t="s">
        <v>132</v>
      </c>
      <c r="B16" s="22">
        <v>0.5</v>
      </c>
      <c r="C16" s="22">
        <v>3.5</v>
      </c>
      <c r="D16" s="22">
        <v>4.9000000000000004</v>
      </c>
      <c r="E16" s="22">
        <v>0.2</v>
      </c>
      <c r="F16" s="22">
        <f t="shared" si="0"/>
        <v>9.1</v>
      </c>
      <c r="G16" s="11" t="s">
        <v>133</v>
      </c>
    </row>
    <row r="17" spans="1:7" x14ac:dyDescent="0.25">
      <c r="A17" s="11" t="s">
        <v>134</v>
      </c>
      <c r="B17" s="22">
        <v>0.2</v>
      </c>
      <c r="C17" s="22">
        <v>1.3</v>
      </c>
      <c r="D17" s="22">
        <v>10.5</v>
      </c>
      <c r="E17" s="22">
        <v>0.9</v>
      </c>
      <c r="F17" s="22">
        <f t="shared" si="0"/>
        <v>12.9</v>
      </c>
      <c r="G17" s="11" t="s">
        <v>135</v>
      </c>
    </row>
    <row r="18" spans="1:7" x14ac:dyDescent="0.25">
      <c r="A18" s="11" t="s">
        <v>136</v>
      </c>
      <c r="B18" s="22">
        <v>0.2</v>
      </c>
      <c r="C18" s="22">
        <v>1</v>
      </c>
      <c r="D18" s="22">
        <v>7.4</v>
      </c>
      <c r="E18" s="22">
        <v>1.2</v>
      </c>
      <c r="F18" s="22">
        <f t="shared" si="0"/>
        <v>9.7999999999999989</v>
      </c>
      <c r="G18" s="11" t="s">
        <v>55</v>
      </c>
    </row>
    <row r="19" spans="1:7" x14ac:dyDescent="0.25">
      <c r="A19" s="11" t="s">
        <v>137</v>
      </c>
      <c r="B19" s="22">
        <v>0.1</v>
      </c>
      <c r="C19" s="22">
        <v>0.3</v>
      </c>
      <c r="D19" s="22">
        <v>0.9</v>
      </c>
      <c r="E19" s="22">
        <v>1.5</v>
      </c>
      <c r="F19" s="22">
        <f t="shared" si="0"/>
        <v>2.8</v>
      </c>
      <c r="G19" s="11" t="s">
        <v>130</v>
      </c>
    </row>
    <row r="20" spans="1:7" x14ac:dyDescent="0.25">
      <c r="A20" s="39" t="s">
        <v>13</v>
      </c>
      <c r="B20" s="36">
        <f>SUM(B13:B19)</f>
        <v>2.4000000000000004</v>
      </c>
      <c r="C20" s="36">
        <f>SUM(C13:C19)</f>
        <v>9.9</v>
      </c>
      <c r="D20" s="36">
        <f>SUM(D13:D19)</f>
        <v>30.799999999999997</v>
      </c>
      <c r="E20" s="36">
        <f>SUM(E13:E19)</f>
        <v>4.8999999999999995</v>
      </c>
      <c r="F20" s="36">
        <f>SUM(F13:F19)</f>
        <v>47.999999999999993</v>
      </c>
      <c r="G20" s="39" t="str">
        <f>IF(ROUND(F20,1)=ROUND(Sueldos!H18,1),"Cuadra con Sueldos","Revisar Sueldos")</f>
        <v>Cuadra con Sueldos</v>
      </c>
    </row>
    <row r="22" spans="1:7" x14ac:dyDescent="0.25">
      <c r="A22" t="s">
        <v>138</v>
      </c>
    </row>
    <row r="23" spans="1:7" x14ac:dyDescent="0.25">
      <c r="A23" t="s">
        <v>139</v>
      </c>
      <c r="B23" s="38">
        <f>C9*0.75</f>
        <v>11.175000000000001</v>
      </c>
    </row>
    <row r="24" spans="1:7" x14ac:dyDescent="0.25">
      <c r="A24" t="s">
        <v>140</v>
      </c>
      <c r="B24" s="38">
        <f>Sueldos!H18*1.43</f>
        <v>68.64</v>
      </c>
    </row>
    <row r="25" spans="1:7" x14ac:dyDescent="0.25">
      <c r="A25" t="s">
        <v>141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tabSelected="1" zoomScaleNormal="100" workbookViewId="0">
      <selection activeCell="F31" sqref="F31"/>
    </sheetView>
  </sheetViews>
  <sheetFormatPr baseColWidth="10" defaultColWidth="8.7109375" defaultRowHeight="15" x14ac:dyDescent="0.25"/>
  <cols>
    <col min="1" max="1" width="44" customWidth="1"/>
    <col min="2" max="2" width="13" customWidth="1"/>
    <col min="3" max="3" width="18" customWidth="1"/>
    <col min="4" max="4" width="14" customWidth="1"/>
    <col min="5" max="5" width="18" customWidth="1"/>
    <col min="6" max="6" width="20" customWidth="1"/>
  </cols>
  <sheetData>
    <row r="1" spans="1:6" ht="15.75" x14ac:dyDescent="0.25">
      <c r="A1" s="34" t="s">
        <v>142</v>
      </c>
    </row>
    <row r="2" spans="1:6" x14ac:dyDescent="0.25">
      <c r="A2" t="s">
        <v>143</v>
      </c>
    </row>
    <row r="5" spans="1:6" x14ac:dyDescent="0.25">
      <c r="A5" s="11" t="s">
        <v>144</v>
      </c>
      <c r="B5" s="22">
        <f>Sueldos!H18</f>
        <v>48</v>
      </c>
      <c r="C5" s="40">
        <f>B5*Notas!$B$7*Notas!$B$8/Notas!$B$3</f>
        <v>83027.027027027027</v>
      </c>
      <c r="D5" s="40">
        <f>'Costos Indirectos'!$E$19*B5/Notas!$B$3</f>
        <v>5500</v>
      </c>
      <c r="E5" s="40">
        <f>(C5+D5+('Hw&amp;SW'!$E$16+Otros!$E$10)/Notas!$B$3)*1.1</f>
        <v>1010599.7297297298</v>
      </c>
      <c r="F5" s="40">
        <f>2000000-E5</f>
        <v>989400.27027027018</v>
      </c>
    </row>
    <row r="6" spans="1:6" x14ac:dyDescent="0.25">
      <c r="A6" s="11" t="s">
        <v>145</v>
      </c>
      <c r="B6" s="22">
        <f>Sueldos!H18*1.3</f>
        <v>62.400000000000006</v>
      </c>
      <c r="C6" s="40">
        <f>B6*Notas!$B$7*Notas!$B$8/Notas!$B$3</f>
        <v>107935.13513513515</v>
      </c>
      <c r="D6" s="40">
        <f>'Costos Indirectos'!$E$19*B6/Notas!$B$3</f>
        <v>7150</v>
      </c>
      <c r="E6" s="40">
        <f>(C6+D6+('Hw&amp;SW'!$E$16+Otros!$E$10)/Notas!$B$3)*1.1</f>
        <v>1039813.6486486488</v>
      </c>
      <c r="F6" s="40">
        <f>2000000-E6</f>
        <v>960186.35135135124</v>
      </c>
    </row>
    <row r="7" spans="1:6" x14ac:dyDescent="0.25">
      <c r="A7" s="11" t="s">
        <v>146</v>
      </c>
      <c r="B7" s="22">
        <f>Sueldos!H18*1.43</f>
        <v>68.64</v>
      </c>
      <c r="C7" s="40">
        <f>B7*Notas!$B$7*Notas!$B$8/Notas!$B$3</f>
        <v>118728.64864864865</v>
      </c>
      <c r="D7" s="40">
        <f>'Costos Indirectos'!$E$19*B7/Notas!$B$3</f>
        <v>7865</v>
      </c>
      <c r="E7" s="40">
        <f>(C7+D7+('Hw&amp;SW'!$E$16+Otros!$E$10)/Notas!$B$3)*1.1</f>
        <v>1052473.0135135136</v>
      </c>
      <c r="F7" s="40">
        <f>2000000-E7</f>
        <v>947526.98648648639</v>
      </c>
    </row>
    <row r="8" spans="1:6" x14ac:dyDescent="0.25">
      <c r="A8" s="11" t="s">
        <v>147</v>
      </c>
      <c r="B8" s="22">
        <f>Sueldos!H18</f>
        <v>48</v>
      </c>
      <c r="C8" s="40">
        <f>B8*Notas!$B$8*35</f>
        <v>268800</v>
      </c>
      <c r="D8" s="40">
        <f>'Costos Indirectos'!$E$19*B8/Notas!$B$3</f>
        <v>5500</v>
      </c>
      <c r="E8" s="40">
        <f>(C8+D8+('Hw&amp;SW'!$E$16+Otros!$E$10)/Notas!$B$3)*1.1</f>
        <v>1214950</v>
      </c>
      <c r="F8" s="40">
        <f>2000000-E8</f>
        <v>785050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Costos Indirectos</vt:lpstr>
      <vt:lpstr>Hw&amp;SW</vt:lpstr>
      <vt:lpstr>Sueldos</vt:lpstr>
      <vt:lpstr>Otros</vt:lpstr>
      <vt:lpstr>TotalProyecto</vt:lpstr>
      <vt:lpstr>Notas</vt:lpstr>
      <vt:lpstr>COCOMO_Doc1</vt:lpstr>
      <vt:lpstr>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Jsilva</dc:creator>
  <dc:description/>
  <cp:lastModifiedBy>Ana Elisa Ahumada</cp:lastModifiedBy>
  <cp:revision>0</cp:revision>
  <cp:lastPrinted>2026-10-09T06:05:12Z</cp:lastPrinted>
  <dcterms:created xsi:type="dcterms:W3CDTF">2019-08-18T21:32:48Z</dcterms:created>
  <dcterms:modified xsi:type="dcterms:W3CDTF">2026-10-09T06:09:24Z</dcterms:modified>
  <dc:language>en-US</dc:language>
</cp:coreProperties>
</file>